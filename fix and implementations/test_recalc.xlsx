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npd-planner\fix and implementations\"/>
    </mc:Choice>
  </mc:AlternateContent>
  <xr:revisionPtr revIDLastSave="0" documentId="13_ncr:1_{15E91F1B-8E2D-4875-8E5F-2B72D7D916C4}" xr6:coauthVersionLast="47" xr6:coauthVersionMax="47" xr10:uidLastSave="{00000000-0000-0000-0000-000000000000}"/>
  <workbookProtection workbookAlgorithmName="SHA-512" workbookHashValue="884GAJiG4E9l68mUZ8CR067cxMmHjLYzGA3YriCc7tqzhXdstJ25Wmj0jS3GT+Jke435EK+XtzwSKKtTtWqi3Q==" workbookSaltValue="5ozlclNUWLLfRo9LlqkgGg==" workbookSpinCount="100000" lockStructure="1"/>
  <bookViews>
    <workbookView xWindow="-108" yWindow="-108" windowWidth="23256" windowHeight="12456" tabRatio="721" activeTab="4" xr2:uid="{00000000-000D-0000-FFFF-FFFF00000000}"/>
  </bookViews>
  <sheets>
    <sheet name="Quote" sheetId="44" r:id="rId1"/>
    <sheet name="CUST DATAB" sheetId="18" state="hidden" r:id="rId2"/>
    <sheet name="HOUSE MADE BQT CHART" sheetId="23" state="hidden" r:id="rId3"/>
    <sheet name="REGULAR Spec Sheet" sheetId="20" state="hidden" r:id="rId4"/>
    <sheet name="Spec Sheet" sheetId="49" r:id="rId5"/>
    <sheet name="HOUSE MADE BQT Spec Sheet" sheetId="22" state="hidden" r:id="rId6"/>
    <sheet name="FL COST" sheetId="14" state="hidden" r:id="rId7"/>
    <sheet name="Sheet3" sheetId="48" state="hidden" r:id="rId8"/>
    <sheet name="FLOWER RELATION" sheetId="13" state="hidden" r:id="rId9"/>
    <sheet name="LIST" sheetId="10" state="hidden" r:id="rId10"/>
    <sheet name="CUST LIST" sheetId="17" state="hidden" r:id="rId11"/>
    <sheet name="PRICES USA" sheetId="16" state="hidden" r:id="rId12"/>
    <sheet name="PACK" sheetId="11" state="hidden" r:id="rId13"/>
    <sheet name="DBCost" sheetId="12" state="hidden" r:id="rId14"/>
    <sheet name="FL-CO" sheetId="7" state="hidden" r:id="rId15"/>
    <sheet name="FL-GR" sheetId="21" state="hidden" r:id="rId16"/>
    <sheet name="BICOLOR" sheetId="3" state="hidden" r:id="rId17"/>
    <sheet name="TINTED" sheetId="4" state="hidden" r:id="rId18"/>
    <sheet name="GLITTERED" sheetId="6" state="hidden" r:id="rId19"/>
    <sheet name="TNT-GLT" sheetId="9" state="hidden" r:id="rId20"/>
  </sheets>
  <externalReferences>
    <externalReference r:id="rId21"/>
    <externalReference r:id="rId22"/>
  </externalReferences>
  <definedNames>
    <definedName name="_xlnm._FilterDatabase" localSheetId="16" hidden="1">BICOLOR!$B$1:$P$1</definedName>
    <definedName name="_xlnm._FilterDatabase" localSheetId="1" hidden="1">'CUST DATAB'!$A$1:$F$197</definedName>
    <definedName name="_xlnm._FilterDatabase" localSheetId="13" hidden="1">DBCost!$A$1:$J$127</definedName>
    <definedName name="_xlnm._FilterDatabase" localSheetId="6" hidden="1">'FL COST'!$A$1:$G$81</definedName>
    <definedName name="_xlnm._FilterDatabase" localSheetId="8" hidden="1">'FLOWER RELATION'!$A$1:$F$94</definedName>
    <definedName name="_xlnm._FilterDatabase" localSheetId="9" hidden="1">LIST!$A$182:$J$224</definedName>
    <definedName name="_xlnm._FilterDatabase" localSheetId="11" hidden="1">'PRICES USA'!$C$1:$J$1</definedName>
    <definedName name="_xlnm._FilterDatabase" localSheetId="7" hidden="1">Sheet3!$B$1:$C$85</definedName>
    <definedName name="_xlnm._FilterDatabase" localSheetId="17" hidden="1">TINTED!$A$1:$Z$44</definedName>
    <definedName name="ARR_DROP_IN_MACHINE">LIST!$D$173:$D$179</definedName>
    <definedName name="ARR_DROP_IN_MANUAL">LIST!$E$173:$E$179</definedName>
    <definedName name="ARR_FOAM">LIST!$C$173:$C$179</definedName>
    <definedName name="BC_ALSTROEMERIA">BICOLOR!$B$2:$B$13</definedName>
    <definedName name="BC_ASIATIC">BICOLOR!$C$2:$C$2</definedName>
    <definedName name="BC_BONBON_DISBUD">BICOLOR!$K$2:$K$3</definedName>
    <definedName name="BC_BRASSICAS">BICOLOR!$D$2:$D$2</definedName>
    <definedName name="BC_CALLAS">BICOLOR!$E$2:$E$2</definedName>
    <definedName name="BC_CARNATION">BICOLOR!$F$2:$F$33</definedName>
    <definedName name="BC_CORDYLINE">BICOLOR!$G$2:$G$3</definedName>
    <definedName name="BC_CREMON">BICOLOR!$H$2:$H$5</definedName>
    <definedName name="BC_CUSHION">BICOLOR!$I$2:$I$6</definedName>
    <definedName name="BC_DAISY">BICOLOR!$J$2:$J$9</definedName>
    <definedName name="BC_GERBERA">BICOLOR!$L$2:$L$12</definedName>
    <definedName name="BC_GERBERA_GERRONDO">BICOLOR!$M$2:$M$3</definedName>
    <definedName name="BC_HYDRANGEA">BICOLOR!$N$2:$N$3</definedName>
    <definedName name="BC_LILLY_GRASS">BICOLOR!$P$2:$P$3</definedName>
    <definedName name="BC_LIRIOS">BICOLOR!$X$2:$X$2</definedName>
    <definedName name="BC_MATSUMOTO">BICOLOR!$W$2:$W$2</definedName>
    <definedName name="BC_MINICARNATION">BICOLOR!$Q$2:$Q$25</definedName>
    <definedName name="BC_NOVELTY">BICOLOR!$R$2:$R$6</definedName>
    <definedName name="BC_ROSES">BICOLOR!$S$2:$S$19</definedName>
    <definedName name="BC_ROSES_SPRAY">BICOLOR!$V$2:$V$10</definedName>
    <definedName name="BC_SNAP_DRAGON">BICOLOR!$T$2:$T$2</definedName>
    <definedName name="BC_SPIDER">BICOLOR!$U$2:$U$4</definedName>
    <definedName name="BICOLOR">BICOLOR!$O$2:$O$3</definedName>
    <definedName name="CASES">LIST!$A$130:$H$141</definedName>
    <definedName name="CLEAR_COLOR">LIST!$A$1</definedName>
    <definedName name="CO_ALSTROEMERIA">'FL-CO'!$F$2:$F$17</definedName>
    <definedName name="CO_ARALIA">'FL-CO'!$G$2:$G$2</definedName>
    <definedName name="CO_ASIATIC">'FL-CO'!$H$2:$H$11</definedName>
    <definedName name="CO_ASPIDISTRA">'FL-CO'!$I$2:$I$3</definedName>
    <definedName name="CO_ASTER">'FL-CO'!$J$2:$J$12</definedName>
    <definedName name="CO_BONBON_DISBUD">'FL-CO'!$W$2:$W$7</definedName>
    <definedName name="CO_BRASSICAS">'FL-CO'!$K$2:$K$6</definedName>
    <definedName name="CO_BUTTON">'FL-CO'!$L$2:$L$10</definedName>
    <definedName name="CO_CALLAS">'FL-CO'!$BG$2:$BG$2</definedName>
    <definedName name="CO_CARNATION">'FL-CO'!$M$2:$M$21</definedName>
    <definedName name="CO_CEDAR">'FL-CO'!$N$2:$N$2</definedName>
    <definedName name="CO_COCCULOS">'FL-CO'!$O$2:$O$2</definedName>
    <definedName name="CO_CORDYLINE">'FL-CO'!$P$2:$P$5</definedName>
    <definedName name="CO_CREMON">'FL-CO'!$Q$2:$Q$15</definedName>
    <definedName name="CO_CROTTON">'FL-CO'!$R$2:$R$3</definedName>
    <definedName name="CO_CUSHION">'FL-CO'!$S$2:$S$19</definedName>
    <definedName name="CO_DAISY">'FL-CO'!$T$2:$T$15</definedName>
    <definedName name="CO_DIANTHUS">'FL-CO'!$V$2:$V$7</definedName>
    <definedName name="CO_ERYNGIUM">'FL-CO'!$X$2:$X$7</definedName>
    <definedName name="CO_EUCALIPTUS">'FL-CO'!$Y$2:$Y$2</definedName>
    <definedName name="CO_GARDEN_ROSES">'FL-CO'!$Z$2:$Z$10</definedName>
    <definedName name="CO_GERBERA">'FL-CO'!$AA$2:$AA$19</definedName>
    <definedName name="CO_GERBERA_GERONDO">'FL-CO'!$AB$2:$AB$6</definedName>
    <definedName name="CO_GREVILLEAS">'FL-CO'!$AC$2:$AC$2</definedName>
    <definedName name="CO_GYPSOPHILA">'FL-CO'!$AD$2:$AD$5</definedName>
    <definedName name="CO_HYDRANGEA">'FL-CO'!$AE$2:$AE$12</definedName>
    <definedName name="CO_HYPERYCUM">'FL-CO'!$AF$2:$AF$17</definedName>
    <definedName name="CO_LEATHER_LEAF">'FL-CO'!$AG$2:$AG$2</definedName>
    <definedName name="CO_LEUCADENDRON">'FL-CO'!$AH$2:$AH$3</definedName>
    <definedName name="CO_LILLY_GRASS">'FL-CO'!$AI$2:$AI$2</definedName>
    <definedName name="CO_LIMONIUM">'FL-CO'!$AJ$2:$AJ$10</definedName>
    <definedName name="CO_MATSUMOTO">'FL-CO'!$AK$2:$AK$10</definedName>
    <definedName name="CO_MICRO_POMS">'FL-CO'!$AL$2:$AL$8</definedName>
    <definedName name="CO_MINICALLAS">'FL-CO'!$BF$2:$BF$7</definedName>
    <definedName name="CO_MINICARNATION">'FL-CO'!$AM$2:$AM$22</definedName>
    <definedName name="CO_MINIHYDRANGEA">'FL-CO'!$E$2:$E$3</definedName>
    <definedName name="CO_MOLUCELLA">'FL-CO'!$AN$2:$AN$3</definedName>
    <definedName name="CO_MUMS">'FL-CO'!$AO$2:$AO$8</definedName>
    <definedName name="CO_NOVELTY">'FL-CO'!$AP$2:$AP$12</definedName>
    <definedName name="CO_ORIENTAL">'FL-CO'!$AQ$2:$AQ$10</definedName>
    <definedName name="CO_PHOENIX_ROEBELENII">'FL-CO'!$AR$2:$AR$2</definedName>
    <definedName name="CO_PHOTINIA">'FL-CO'!$AS$2:$AS$3</definedName>
    <definedName name="CO_PITTOSPORUM">'FL-CO'!$AT$2:$AT$2</definedName>
    <definedName name="CO_ROSES">'FL-CO'!$AU$2:$AU$19</definedName>
    <definedName name="CO_ROSES_SPRAY">'FL-CO'!$B$2:$B$20</definedName>
    <definedName name="CO_RUSCUS">'FL-CO'!$AV$2:$AV$2</definedName>
    <definedName name="CO_SALAL">'FL-CO'!$BH$2:$BH$2</definedName>
    <definedName name="CO_SANTINI">'FL-CO'!$AW$2:$AW$9</definedName>
    <definedName name="CO_SNAP_DRAGON">'FL-CO'!$AX$2:$AX$12</definedName>
    <definedName name="CO_SOLIDAGO">'FL-CO'!$AY$2:$AY$3</definedName>
    <definedName name="CO_SPIDER">'FL-CO'!$AZ$2:$AZ$11</definedName>
    <definedName name="CO_STAR_OF_BETHELEHEM">'FL-CO'!$BA$2:$BA$2</definedName>
    <definedName name="CO_STATICE">'FL-CO'!$BB$2:$BB$11</definedName>
    <definedName name="CO_STOCK_DOUBLE">'FL-CO'!$C$2:$C$11</definedName>
    <definedName name="CO_STOCK_STARLET">'FL-CO'!$D$2:$D$11</definedName>
    <definedName name="CO_SUNFLOWER">'FL-CO'!$BC$2:$BC$4</definedName>
    <definedName name="CO_TREEFERN">'FL-CO'!$BD$2:$BD$2</definedName>
    <definedName name="CO_VIBURNUM">'FL-CO'!$BE$2:$BE$2</definedName>
    <definedName name="DP_FB_RELATION">LIST!$A$146:$G$155</definedName>
    <definedName name="FB_COST">LIST!$A$111:$E$116</definedName>
    <definedName name="FL_COST_COL">'FL COST'!$A$1:$G$59</definedName>
    <definedName name="FL_COST_USA">'PRICES USA'!$D$1:$G$67</definedName>
    <definedName name="FLOWER">LIST!$A$3:$A$61</definedName>
    <definedName name="GLT_BRASSICAS">GLITTERED!$M$2:$M$2</definedName>
    <definedName name="GLT_CEDAR">GLITTERED!$R$2:$R$16</definedName>
    <definedName name="GLT_CREMON">GLITTERED!$E$2:$E$2</definedName>
    <definedName name="GLT_CUSHION">GLITTERED!$N$2:$N$10</definedName>
    <definedName name="GLT_DAISY">GLITTERED!$O$2:$O$16</definedName>
    <definedName name="GLT_ERYNGIUM">GLITTERED!$L$2:$L$12</definedName>
    <definedName name="GLT_EUCALIPTUS">GLITTERED!$F$2:$F$2</definedName>
    <definedName name="GLT_GYPSOPHILA">GLITTERED!$C$2:$C$3</definedName>
    <definedName name="GLT_HYPERYCUM">GLITTERED!$J$2:$J$2</definedName>
    <definedName name="GLT_LEATHER_LEAF">GLITTERED!$G$2:$G$2</definedName>
    <definedName name="GLT_LIMONIUM">GLITTERED!$B$2:$B$4</definedName>
    <definedName name="GLT_MICRO_POMS">GLITTERED!$P$2:$P$2</definedName>
    <definedName name="GLT_NOVELTY">GLITTERED!$Q$2:$Q$6</definedName>
    <definedName name="GLT_RUSCUS">GLITTERED!$I$2:$I$3</definedName>
    <definedName name="GLT_SPIDER">GLITTERED!$D$2:$D$8</definedName>
    <definedName name="GLT_TREEFERN">GLITTERED!$H$2:$H$2</definedName>
    <definedName name="GR_ALSTROEMERIA">'FL-GR'!$B$2:$B$7</definedName>
    <definedName name="GR_ARALIA">'FL-GR'!$AU$2:$AU$7</definedName>
    <definedName name="GR_ASIATIC">'FL-GR'!$AW$2:$AW$7</definedName>
    <definedName name="GR_ASPIDISTRA">'FL-GR'!$AO$2:$AO$7</definedName>
    <definedName name="GR_ASTER">'FL-GR'!$G$2:$G$7</definedName>
    <definedName name="GR_BRASSICAS">'FL-GR'!$AM$2:$AM$7</definedName>
    <definedName name="GR_BUTTON">'FL-GR'!$AX$2:$AX$7</definedName>
    <definedName name="GR_CALLAS">'FL-GR'!$N$2:$N$7</definedName>
    <definedName name="GR_CARNATION">'FL-GR'!$H$2:$H$7</definedName>
    <definedName name="GR_CEDAR">'FL-GR'!$AC$2:$AC$7</definedName>
    <definedName name="GR_COCCULOS">'FL-GR'!$AI$2:$AI$7</definedName>
    <definedName name="GR_CORDYLINE">'FL-GR'!$AJ$2:$AJ$7</definedName>
    <definedName name="GR_CREMON">'FL-GR'!$Q$2:$Q$7</definedName>
    <definedName name="GR_CROTTON">'FL-GR'!$AQ$2:$AQ$7</definedName>
    <definedName name="GR_CUSHION">'FL-GR'!$AY$2:$AY$7</definedName>
    <definedName name="GR_DAISY">'FL-GR'!$AZ$2:$AZ$7</definedName>
    <definedName name="GR_DIANTHUS">'FL-GR'!$AK$2:$AK$7</definedName>
    <definedName name="GR_ERYNGIUM">'FL-GR'!$AH$2:$AH$7</definedName>
    <definedName name="GR_EUCALIPTUS">'FL-GR'!$S$2:$S$7</definedName>
    <definedName name="GR_GARDEN_ROSES">'FL-GR'!$AV$2:$AV$7</definedName>
    <definedName name="GR_GERBERA">'FL-GR'!$L$2:$L$7</definedName>
    <definedName name="GR_GERBERA_GERRONDO">'FL-GR'!$AS$2:$AS$7</definedName>
    <definedName name="GR_GREVILLEAS">'FL-GR'!$AN$2:$AN$7</definedName>
    <definedName name="GR_GYPSOPHILA">'FL-GR'!$M$2:$M$7</definedName>
    <definedName name="GR_HYDRANGEA">'FL-GR'!$AA$2:$AA$7</definedName>
    <definedName name="GR_HYPERYCUM">'FL-GR'!$Z$2:$Z$7</definedName>
    <definedName name="GR_LEATHER_LEAF">'FL-GR'!$T$2:$T$7</definedName>
    <definedName name="GR_LEUCADENDRON">'FL-GR'!$AD$2:$AD$7</definedName>
    <definedName name="GR_LILLY_GRASS">'FL-GR'!$AL$2:$AL$7</definedName>
    <definedName name="GR_LIMONIUM">'FL-GR'!$D$2:$D$7</definedName>
    <definedName name="GR_MATSUMOTO">'FL-GR'!$O$2:$O$7</definedName>
    <definedName name="GR_MICRO_POMS">'FL-GR'!$BC$2:$BC$7</definedName>
    <definedName name="GR_MINICARNATION">'FL-GR'!$F$2:$F$7</definedName>
    <definedName name="GR_MINIHYDRANGEA">'FL-GR'!$BD$2:$BD$7</definedName>
    <definedName name="GR_MOLUCELLA">'FL-GR'!$Y$2:$Y$7</definedName>
    <definedName name="GR_MUMS">'FL-GR'!$AR$2:$AR$7</definedName>
    <definedName name="GR_NOVELTY_POM">'FL-GR'!$BA$2:$BA$7</definedName>
    <definedName name="GR_ORIENTAL">'FL-GR'!$BB$2:$BB$7</definedName>
    <definedName name="GR_PHOENIX_ROEBELENII">'FL-GR'!$AG$2:$AG$7</definedName>
    <definedName name="GR_PHOTINIA">'FL-GR'!$AF$2:$AF$7</definedName>
    <definedName name="GR_PITTOSPORUM">'FL-GR'!$AB$2:$AB$7</definedName>
    <definedName name="GR_ROSES">'FL-GR'!$A$2:$A$7</definedName>
    <definedName name="GR_ROSES_SPRAY">'FL-GR'!$C$2:$C$7</definedName>
    <definedName name="GR_RUSCUS">'FL-GR'!$X$2:$X$7</definedName>
    <definedName name="GR_SALAL">'FL-GR'!$U$2:$U$7</definedName>
    <definedName name="GR_SANTINI">'FL-GR'!$AT$2:$AT$7</definedName>
    <definedName name="GR_SNAP_DRAGON">'FL-GR'!$R$2:$R$7</definedName>
    <definedName name="GR_SOLIDAGO">'FL-GR'!$AP$2:$AP$7</definedName>
    <definedName name="GR_SPIDER">'FL-GR'!$P$2:$P$7</definedName>
    <definedName name="GR_STAR_OF_BETHELEHEM">'FL-GR'!$V$2:$V$7</definedName>
    <definedName name="GR_STATICE">'FL-GR'!$E$2:$E$7</definedName>
    <definedName name="GR_STOCK_DOUBLE">'FL-GR'!$I$2:$I$7</definedName>
    <definedName name="GR_STOCK_STARLET">'FL-GR'!$J$2:$J$7</definedName>
    <definedName name="GR_SUNFLOWER">'FL-GR'!$K$2:$K$7</definedName>
    <definedName name="GR_TREEFERN">'FL-GR'!$W$2:$W$7</definedName>
    <definedName name="GR_VIBURNUM">'FL-GR'!$AE$2:$AE$7</definedName>
    <definedName name="HOLIDAY" localSheetId="5">[1]TABLE!$A$391:$D$397</definedName>
    <definedName name="HOLIDAY">LIST!$A$111:$A$116</definedName>
    <definedName name="NO">LIST!$L$1</definedName>
    <definedName name="PALLET_SHIPPER">LIST!$F$173:$F$179</definedName>
    <definedName name="_xlnm.Print_Area" localSheetId="5">'HOUSE MADE BQT Spec Sheet'!$B$1:$M$47</definedName>
    <definedName name="_xlnm.Print_Area" localSheetId="3">'REGULAR Spec Sheet'!$B$1:$M$47</definedName>
    <definedName name="_xlnm.Print_Area" localSheetId="4">'Spec Sheet'!$A$1:$M$59</definedName>
    <definedName name="TNT_ALSTROEMERIA">TINTED!$E$2:$E$3</definedName>
    <definedName name="TNT_ASIATIC">TINTED!$B$2:$B$2</definedName>
    <definedName name="TNT_ASTER">TINTED!$C$2:$C$4</definedName>
    <definedName name="TNT_CARNATION">TINTED!$I$2:$I$12</definedName>
    <definedName name="TNT_CEDAR">TINTED!$Y$2:$Y$5</definedName>
    <definedName name="TNT_CREMON">TINTED!$N$2:$N$22</definedName>
    <definedName name="TNT_CUSHION">TINTED!$S$2:$S$27</definedName>
    <definedName name="TNT_DAISY">TINTED!$T$2:$T$34</definedName>
    <definedName name="TNT_ERYNGIUM">TINTED!$Q$2:$Q$18</definedName>
    <definedName name="TNT_GERBERA">TINTED!$K$2:$K$5</definedName>
    <definedName name="TNT_GYPSOPHILA">TINTED!$L$2:$L$11</definedName>
    <definedName name="TNT_HYDRANGEA">TINTED!$P$2:$P$4</definedName>
    <definedName name="TNT_LIMONIUM">TINTED!$G$2:$G$8</definedName>
    <definedName name="TNT_MICRO_POMS">TINTED!$U$2:$U$3</definedName>
    <definedName name="TNT_MINICARNATION">TINTED!$H$2:$H$2</definedName>
    <definedName name="TNT_NOVELTY">TINTED!$V$2:$V$28</definedName>
    <definedName name="TNT_PHOENIX_ROEBELENII">TINTED!$W$2:$W$6</definedName>
    <definedName name="TNT_ROSES">TINTED!$D$2:$D$2</definedName>
    <definedName name="TNT_ROSES_SPRAY">TINTED!$F$2:$F$3</definedName>
    <definedName name="TNT_RUSCUS">TINTED!$O$2:$O$13</definedName>
    <definedName name="TNT_SOLIDAGO">TINTED!$R$2:$R$8</definedName>
    <definedName name="TNT_SPIDER">TINTED!$M$2:$M$23</definedName>
    <definedName name="TNT_SUNFLOWER">TINTED!$J$2:$J$4</definedName>
    <definedName name="TNT_TREEFERN">TINTED!$X$2:$X$10</definedName>
    <definedName name="WP_DOUBLE">LIST!$B$173:$B$179</definedName>
    <definedName name="WP_REG">LIST!$A$173:$A$179</definedName>
    <definedName name="WP_TYPE">LIST!$A$164:$A$169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9" l="1"/>
  <c r="L15" i="44" l="1"/>
  <c r="M15" i="44" s="1"/>
  <c r="B46" i="49"/>
  <c r="D46" i="49" s="1"/>
  <c r="B47" i="49"/>
  <c r="D47" i="49" s="1"/>
  <c r="B48" i="49"/>
  <c r="D48" i="49" s="1"/>
  <c r="B49" i="49"/>
  <c r="D49" i="49" s="1"/>
  <c r="B50" i="49"/>
  <c r="D50" i="49" s="1"/>
  <c r="B51" i="49"/>
  <c r="D51" i="49" s="1"/>
  <c r="B52" i="49"/>
  <c r="D52" i="49" s="1"/>
  <c r="B53" i="49"/>
  <c r="D53" i="49" s="1"/>
  <c r="B54" i="49"/>
  <c r="D54" i="49" s="1"/>
  <c r="B55" i="49"/>
  <c r="D55" i="49" s="1"/>
  <c r="B56" i="49"/>
  <c r="D56" i="49" s="1"/>
  <c r="B57" i="49"/>
  <c r="B58" i="49"/>
  <c r="B59" i="49"/>
  <c r="D59" i="49" s="1"/>
  <c r="B45" i="49"/>
  <c r="D45" i="49" s="1"/>
  <c r="D58" i="49"/>
  <c r="D57" i="49"/>
  <c r="B43" i="20"/>
  <c r="D43" i="20" s="1"/>
  <c r="B12" i="49"/>
  <c r="C12" i="49"/>
  <c r="D12" i="49"/>
  <c r="E12" i="49"/>
  <c r="F12" i="49"/>
  <c r="B13" i="49"/>
  <c r="C13" i="49"/>
  <c r="D13" i="49"/>
  <c r="E13" i="49"/>
  <c r="F13" i="49"/>
  <c r="B14" i="49"/>
  <c r="C14" i="49"/>
  <c r="D14" i="49"/>
  <c r="E14" i="49"/>
  <c r="F14" i="49"/>
  <c r="B15" i="49"/>
  <c r="C15" i="49"/>
  <c r="D15" i="49"/>
  <c r="E15" i="49"/>
  <c r="F15" i="49"/>
  <c r="B16" i="49"/>
  <c r="C16" i="49"/>
  <c r="D16" i="49"/>
  <c r="E16" i="49"/>
  <c r="F16" i="49"/>
  <c r="B17" i="49"/>
  <c r="C17" i="49"/>
  <c r="D17" i="49"/>
  <c r="E17" i="49"/>
  <c r="F17" i="49"/>
  <c r="B18" i="49"/>
  <c r="C18" i="49"/>
  <c r="D18" i="49"/>
  <c r="E18" i="49"/>
  <c r="F18" i="49"/>
  <c r="B19" i="49"/>
  <c r="C19" i="49"/>
  <c r="D19" i="49"/>
  <c r="E19" i="49"/>
  <c r="F19" i="49"/>
  <c r="B20" i="49"/>
  <c r="C20" i="49"/>
  <c r="D20" i="49"/>
  <c r="E20" i="49"/>
  <c r="F20" i="49"/>
  <c r="B21" i="49"/>
  <c r="C21" i="49"/>
  <c r="D21" i="49"/>
  <c r="E21" i="49"/>
  <c r="F21" i="49"/>
  <c r="B22" i="49"/>
  <c r="C22" i="49"/>
  <c r="D22" i="49"/>
  <c r="E22" i="49"/>
  <c r="F22" i="49"/>
  <c r="B23" i="49"/>
  <c r="C23" i="49"/>
  <c r="D23" i="49"/>
  <c r="E23" i="49"/>
  <c r="F23" i="49"/>
  <c r="B24" i="49"/>
  <c r="C24" i="49"/>
  <c r="D24" i="49"/>
  <c r="E24" i="49"/>
  <c r="F24" i="49"/>
  <c r="B25" i="49"/>
  <c r="C25" i="49"/>
  <c r="D25" i="49"/>
  <c r="E25" i="49"/>
  <c r="F25" i="49"/>
  <c r="B26" i="49"/>
  <c r="C26" i="49"/>
  <c r="D26" i="49"/>
  <c r="E26" i="49"/>
  <c r="F26" i="49"/>
  <c r="B27" i="49"/>
  <c r="C27" i="49"/>
  <c r="D27" i="49"/>
  <c r="E27" i="49"/>
  <c r="F27" i="49"/>
  <c r="B28" i="49"/>
  <c r="C28" i="49"/>
  <c r="D28" i="49"/>
  <c r="E28" i="49"/>
  <c r="F28" i="49"/>
  <c r="B29" i="49"/>
  <c r="C29" i="49"/>
  <c r="D29" i="49"/>
  <c r="E29" i="49"/>
  <c r="F29" i="49"/>
  <c r="B30" i="49"/>
  <c r="C30" i="49"/>
  <c r="D30" i="49"/>
  <c r="E30" i="49"/>
  <c r="F30" i="49"/>
  <c r="B31" i="49"/>
  <c r="C31" i="49"/>
  <c r="D31" i="49"/>
  <c r="E31" i="49"/>
  <c r="F31" i="49"/>
  <c r="B32" i="49"/>
  <c r="C32" i="49"/>
  <c r="D32" i="49"/>
  <c r="E32" i="49"/>
  <c r="F32" i="49"/>
  <c r="B33" i="49"/>
  <c r="C33" i="49"/>
  <c r="D33" i="49"/>
  <c r="E33" i="49"/>
  <c r="F33" i="49"/>
  <c r="B34" i="49"/>
  <c r="C34" i="49"/>
  <c r="D34" i="49"/>
  <c r="E34" i="49"/>
  <c r="F34" i="49"/>
  <c r="B35" i="49"/>
  <c r="C35" i="49"/>
  <c r="D35" i="49"/>
  <c r="E35" i="49"/>
  <c r="F35" i="49"/>
  <c r="B36" i="49"/>
  <c r="C36" i="49"/>
  <c r="D36" i="49"/>
  <c r="E36" i="49"/>
  <c r="F36" i="49"/>
  <c r="F11" i="49"/>
  <c r="E11" i="49"/>
  <c r="D11" i="49"/>
  <c r="C11" i="49"/>
  <c r="B11" i="49"/>
  <c r="F10" i="49"/>
  <c r="E10" i="49"/>
  <c r="D10" i="49"/>
  <c r="C10" i="49"/>
  <c r="B10" i="49"/>
  <c r="D8" i="49"/>
  <c r="D6" i="49"/>
  <c r="O35" i="49" a="1"/>
  <c r="O35" i="49" s="1"/>
  <c r="O34" i="49" a="1"/>
  <c r="O34" i="49" s="1"/>
  <c r="O33" i="49" a="1"/>
  <c r="O33" i="49" s="1"/>
  <c r="O32" i="49" a="1"/>
  <c r="O32" i="49" s="1"/>
  <c r="O31" i="49" a="1"/>
  <c r="O31" i="49" s="1"/>
  <c r="O30" i="49" a="1"/>
  <c r="O30" i="49" s="1"/>
  <c r="O29" i="49" a="1"/>
  <c r="O29" i="49" s="1"/>
  <c r="O28" i="49" a="1"/>
  <c r="O28" i="49" s="1"/>
  <c r="O27" i="49" a="1"/>
  <c r="O27" i="49" s="1"/>
  <c r="O26" i="49" a="1"/>
  <c r="O26" i="49" s="1"/>
  <c r="O25" i="49" a="1"/>
  <c r="O25" i="49" s="1"/>
  <c r="O24" i="49" a="1"/>
  <c r="O24" i="49" s="1"/>
  <c r="O23" i="49" a="1"/>
  <c r="O23" i="49" s="1"/>
  <c r="O22" i="49" a="1"/>
  <c r="O22" i="49" s="1"/>
  <c r="O21" i="49" a="1"/>
  <c r="O21" i="49" s="1"/>
  <c r="O20" i="49" a="1"/>
  <c r="O20" i="49" s="1"/>
  <c r="O19" i="49" a="1"/>
  <c r="O19" i="49" s="1"/>
  <c r="O18" i="49" a="1"/>
  <c r="O18" i="49" s="1"/>
  <c r="O17" i="49" a="1"/>
  <c r="O17" i="49" s="1"/>
  <c r="O16" i="49" a="1"/>
  <c r="O16" i="49" s="1"/>
  <c r="O15" i="49" a="1"/>
  <c r="O15" i="49" s="1"/>
  <c r="O14" i="49" a="1"/>
  <c r="O14" i="49" s="1"/>
  <c r="O13" i="49" a="1"/>
  <c r="O13" i="49" s="1"/>
  <c r="O12" i="49" a="1"/>
  <c r="O12" i="49" s="1"/>
  <c r="O11" i="49" a="1"/>
  <c r="O11" i="49" s="1"/>
  <c r="O10" i="49" a="1"/>
  <c r="O10" i="49" s="1"/>
  <c r="L4" i="49"/>
  <c r="B16" i="44"/>
  <c r="U16" i="44" s="1"/>
  <c r="B17" i="44"/>
  <c r="U17" i="44" s="1"/>
  <c r="B18" i="44"/>
  <c r="R18" i="44" s="1"/>
  <c r="B19" i="44"/>
  <c r="S19" i="44" s="1"/>
  <c r="B20" i="44"/>
  <c r="R20" i="44" s="1"/>
  <c r="B21" i="44"/>
  <c r="B22" i="44"/>
  <c r="U22" i="44" s="1"/>
  <c r="B23" i="44"/>
  <c r="R23" i="44" s="1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R37" i="44" s="1"/>
  <c r="B38" i="44"/>
  <c r="B39" i="44"/>
  <c r="S39" i="44" s="1"/>
  <c r="B40" i="44"/>
  <c r="B41" i="44"/>
  <c r="B15" i="44"/>
  <c r="R15" i="44" s="1"/>
  <c r="N18" i="44"/>
  <c r="Q18" i="44" s="1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15" i="44"/>
  <c r="N16" i="44"/>
  <c r="Q16" i="44" s="1"/>
  <c r="N17" i="44"/>
  <c r="N19" i="44"/>
  <c r="N20" i="44"/>
  <c r="N21" i="44"/>
  <c r="Q21" i="44" s="1"/>
  <c r="N22" i="44"/>
  <c r="N23" i="44"/>
  <c r="N24" i="44"/>
  <c r="N25" i="44"/>
  <c r="N26" i="44"/>
  <c r="N27" i="44"/>
  <c r="N28" i="44"/>
  <c r="N29" i="44"/>
  <c r="N30" i="44"/>
  <c r="N31" i="44"/>
  <c r="N32" i="44"/>
  <c r="N33" i="44"/>
  <c r="N34" i="44"/>
  <c r="N35" i="44"/>
  <c r="N36" i="44"/>
  <c r="N37" i="44"/>
  <c r="N15" i="44"/>
  <c r="Q15" i="44" s="1"/>
  <c r="N39" i="44"/>
  <c r="O39" i="44"/>
  <c r="N40" i="44"/>
  <c r="O40" i="44"/>
  <c r="N41" i="44"/>
  <c r="O41" i="44"/>
  <c r="O38" i="44"/>
  <c r="N38" i="44"/>
  <c r="P15" i="44"/>
  <c r="L16" i="44"/>
  <c r="M16" i="44" s="1"/>
  <c r="L17" i="44"/>
  <c r="M17" i="44" s="1"/>
  <c r="L18" i="44"/>
  <c r="M18" i="44" s="1"/>
  <c r="L19" i="44"/>
  <c r="M19" i="44" s="1"/>
  <c r="L20" i="44"/>
  <c r="M20" i="44" s="1"/>
  <c r="L21" i="44"/>
  <c r="M21" i="44" s="1"/>
  <c r="L22" i="44"/>
  <c r="M22" i="44" s="1"/>
  <c r="L23" i="44"/>
  <c r="M23" i="44" s="1"/>
  <c r="L24" i="44"/>
  <c r="M24" i="44" s="1"/>
  <c r="L25" i="44"/>
  <c r="M25" i="44" s="1"/>
  <c r="L26" i="44"/>
  <c r="M26" i="44" s="1"/>
  <c r="L27" i="44"/>
  <c r="M27" i="44" s="1"/>
  <c r="L28" i="44"/>
  <c r="M28" i="44" s="1"/>
  <c r="L29" i="44"/>
  <c r="M29" i="44" s="1"/>
  <c r="L30" i="44"/>
  <c r="M30" i="44" s="1"/>
  <c r="L31" i="44"/>
  <c r="M31" i="44" s="1"/>
  <c r="L32" i="44"/>
  <c r="M32" i="44" s="1"/>
  <c r="L33" i="44"/>
  <c r="M33" i="44" s="1"/>
  <c r="L34" i="44"/>
  <c r="M34" i="44" s="1"/>
  <c r="L35" i="44"/>
  <c r="M35" i="44" s="1"/>
  <c r="L36" i="44"/>
  <c r="M36" i="44" s="1"/>
  <c r="L37" i="44"/>
  <c r="M37" i="44" s="1"/>
  <c r="AD48" i="44"/>
  <c r="Y43" i="44"/>
  <c r="Y42" i="44"/>
  <c r="AN41" i="44"/>
  <c r="AD42" i="44"/>
  <c r="Z42" i="44"/>
  <c r="Y40" i="44"/>
  <c r="Y41" i="44" s="1"/>
  <c r="X41" i="44"/>
  <c r="W41" i="44"/>
  <c r="Q41" i="44"/>
  <c r="P41" i="44"/>
  <c r="M41" i="44"/>
  <c r="AD41" i="44"/>
  <c r="Z41" i="44"/>
  <c r="X40" i="44"/>
  <c r="W40" i="44"/>
  <c r="Q40" i="44"/>
  <c r="P40" i="44"/>
  <c r="M40" i="44"/>
  <c r="AD40" i="44"/>
  <c r="Y39" i="44"/>
  <c r="X39" i="44"/>
  <c r="W39" i="44"/>
  <c r="Q39" i="44"/>
  <c r="P39" i="44"/>
  <c r="M39" i="44"/>
  <c r="Y38" i="44"/>
  <c r="X38" i="44"/>
  <c r="W38" i="44"/>
  <c r="P38" i="44"/>
  <c r="M38" i="44"/>
  <c r="X37" i="44"/>
  <c r="W37" i="44"/>
  <c r="P37" i="44"/>
  <c r="Q37" i="44"/>
  <c r="X36" i="44"/>
  <c r="W36" i="44"/>
  <c r="P36" i="44"/>
  <c r="Q36" i="44"/>
  <c r="X35" i="44"/>
  <c r="W35" i="44"/>
  <c r="Q35" i="44"/>
  <c r="P35" i="44"/>
  <c r="X34" i="44"/>
  <c r="W34" i="44"/>
  <c r="Q34" i="44"/>
  <c r="P34" i="44"/>
  <c r="X33" i="44"/>
  <c r="W33" i="44"/>
  <c r="P33" i="44"/>
  <c r="Q33" i="44"/>
  <c r="X32" i="44"/>
  <c r="W32" i="44"/>
  <c r="P32" i="44"/>
  <c r="Q32" i="44"/>
  <c r="AD31" i="44"/>
  <c r="X31" i="44"/>
  <c r="W31" i="44"/>
  <c r="Q31" i="44"/>
  <c r="P31" i="44"/>
  <c r="AD30" i="44"/>
  <c r="X30" i="44"/>
  <c r="W30" i="44"/>
  <c r="Q30" i="44"/>
  <c r="P30" i="44"/>
  <c r="AD29" i="44"/>
  <c r="X29" i="44"/>
  <c r="W29" i="44"/>
  <c r="Q29" i="44"/>
  <c r="P29" i="44"/>
  <c r="AD28" i="44"/>
  <c r="X28" i="44"/>
  <c r="W28" i="44"/>
  <c r="Q28" i="44"/>
  <c r="P28" i="44"/>
  <c r="AD27" i="44"/>
  <c r="X27" i="44"/>
  <c r="W27" i="44"/>
  <c r="Q27" i="44"/>
  <c r="P27" i="44"/>
  <c r="AD26" i="44"/>
  <c r="X26" i="44"/>
  <c r="W26" i="44"/>
  <c r="P26" i="44"/>
  <c r="Q26" i="44"/>
  <c r="AD25" i="44"/>
  <c r="X25" i="44"/>
  <c r="W25" i="44"/>
  <c r="Q25" i="44"/>
  <c r="P25" i="44"/>
  <c r="AD24" i="44"/>
  <c r="X24" i="44"/>
  <c r="W24" i="44"/>
  <c r="P24" i="44"/>
  <c r="Q24" i="44"/>
  <c r="AD23" i="44"/>
  <c r="X23" i="44"/>
  <c r="W23" i="44"/>
  <c r="Q23" i="44"/>
  <c r="P23" i="44"/>
  <c r="AD22" i="44"/>
  <c r="X22" i="44"/>
  <c r="W22" i="44"/>
  <c r="Q22" i="44"/>
  <c r="P22" i="44"/>
  <c r="AD21" i="44"/>
  <c r="X21" i="44"/>
  <c r="W21" i="44"/>
  <c r="P21" i="44"/>
  <c r="AD20" i="44"/>
  <c r="X20" i="44"/>
  <c r="W20" i="44"/>
  <c r="P20" i="44"/>
  <c r="Q20" i="44"/>
  <c r="AD19" i="44"/>
  <c r="X19" i="44"/>
  <c r="W19" i="44"/>
  <c r="P19" i="44"/>
  <c r="Q19" i="44"/>
  <c r="AD18" i="44"/>
  <c r="X18" i="44"/>
  <c r="W18" i="44"/>
  <c r="P18" i="44"/>
  <c r="X17" i="44"/>
  <c r="W17" i="44"/>
  <c r="P17" i="44"/>
  <c r="Q17" i="44"/>
  <c r="X16" i="44"/>
  <c r="W16" i="44"/>
  <c r="P16" i="44"/>
  <c r="X15" i="44"/>
  <c r="W15" i="44"/>
  <c r="AC6" i="44"/>
  <c r="AA6" i="44"/>
  <c r="J6" i="49" s="1"/>
  <c r="K3" i="44"/>
  <c r="AD36" i="44" s="1"/>
  <c r="Q38" i="44"/>
  <c r="A197" i="18"/>
  <c r="B197" i="18" s="1"/>
  <c r="O11" i="20" a="1"/>
  <c r="O11" i="20" s="1"/>
  <c r="O12" i="20" a="1"/>
  <c r="O12" i="20" s="1"/>
  <c r="O13" i="20" a="1"/>
  <c r="O13" i="20" s="1"/>
  <c r="O14" i="20" a="1"/>
  <c r="O14" i="20" s="1"/>
  <c r="O15" i="20" a="1"/>
  <c r="O15" i="20" s="1"/>
  <c r="O16" i="20" a="1"/>
  <c r="O16" i="20" s="1"/>
  <c r="O17" i="20" a="1"/>
  <c r="O17" i="20" s="1"/>
  <c r="O18" i="20" a="1"/>
  <c r="O18" i="20" s="1"/>
  <c r="O19" i="20" a="1"/>
  <c r="O19" i="20" s="1"/>
  <c r="O20" i="20" a="1"/>
  <c r="O20" i="20" s="1"/>
  <c r="O21" i="20" a="1"/>
  <c r="O21" i="20" s="1"/>
  <c r="O22" i="20" a="1"/>
  <c r="O22" i="20" s="1"/>
  <c r="O23" i="20" a="1"/>
  <c r="O23" i="20" s="1"/>
  <c r="O24" i="20" a="1"/>
  <c r="O24" i="20" s="1"/>
  <c r="O25" i="20" a="1"/>
  <c r="O25" i="20" s="1"/>
  <c r="C25" i="20" s="1"/>
  <c r="O26" i="20" a="1"/>
  <c r="O26" i="20" s="1"/>
  <c r="O27" i="20" a="1"/>
  <c r="O27" i="20" s="1"/>
  <c r="O28" i="20" a="1"/>
  <c r="O28" i="20" s="1"/>
  <c r="O29" i="20" a="1"/>
  <c r="O29" i="20" s="1"/>
  <c r="C29" i="20" s="1"/>
  <c r="O30" i="20" a="1"/>
  <c r="O30" i="20" s="1"/>
  <c r="O31" i="20" a="1"/>
  <c r="O31" i="20" s="1"/>
  <c r="O32" i="20" a="1"/>
  <c r="O32" i="20" s="1"/>
  <c r="O33" i="20" a="1"/>
  <c r="O33" i="20" s="1"/>
  <c r="O34" i="20" a="1"/>
  <c r="O34" i="20" s="1"/>
  <c r="O35" i="20" a="1"/>
  <c r="O35" i="20" s="1"/>
  <c r="O10" i="20" a="1"/>
  <c r="O10" i="20" s="1"/>
  <c r="A115" i="18"/>
  <c r="B115" i="18" s="1"/>
  <c r="L4" i="20"/>
  <c r="L4" i="22"/>
  <c r="W21" i="23"/>
  <c r="W22" i="23"/>
  <c r="W23" i="23"/>
  <c r="W24" i="23"/>
  <c r="W25" i="23"/>
  <c r="W26" i="23"/>
  <c r="W27" i="23"/>
  <c r="W28" i="23"/>
  <c r="W30" i="23"/>
  <c r="Y35" i="23"/>
  <c r="Y34" i="23"/>
  <c r="Y33" i="23"/>
  <c r="J6" i="22" s="1"/>
  <c r="AA32" i="23"/>
  <c r="AA31" i="23"/>
  <c r="O21" i="23"/>
  <c r="O22" i="23"/>
  <c r="O25" i="23"/>
  <c r="O26" i="23"/>
  <c r="O29" i="23"/>
  <c r="O30" i="23"/>
  <c r="O33" i="23"/>
  <c r="O34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11" i="23"/>
  <c r="Y5" i="23" s="1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11" i="23"/>
  <c r="L12" i="23"/>
  <c r="O12" i="23" s="1"/>
  <c r="L13" i="23"/>
  <c r="O13" i="23"/>
  <c r="L14" i="23"/>
  <c r="O14" i="23"/>
  <c r="L15" i="23"/>
  <c r="O15" i="23"/>
  <c r="L16" i="23"/>
  <c r="O16" i="23"/>
  <c r="L17" i="23"/>
  <c r="O17" i="23"/>
  <c r="L18" i="23"/>
  <c r="O18" i="23"/>
  <c r="L19" i="23"/>
  <c r="O19" i="23"/>
  <c r="L20" i="23"/>
  <c r="O20" i="23"/>
  <c r="L21" i="23"/>
  <c r="L22" i="23"/>
  <c r="L23" i="23"/>
  <c r="O23" i="23"/>
  <c r="L24" i="23"/>
  <c r="O24" i="23"/>
  <c r="L25" i="23"/>
  <c r="L26" i="23"/>
  <c r="L27" i="23"/>
  <c r="O27" i="23"/>
  <c r="L28" i="23"/>
  <c r="O28" i="23"/>
  <c r="L29" i="23"/>
  <c r="L30" i="23"/>
  <c r="L31" i="23"/>
  <c r="O31" i="23"/>
  <c r="L32" i="23"/>
  <c r="O32" i="23"/>
  <c r="L33" i="23"/>
  <c r="L34" i="23"/>
  <c r="L35" i="23"/>
  <c r="O35" i="23"/>
  <c r="L11" i="23"/>
  <c r="O11" i="23" s="1"/>
  <c r="Y13" i="23" s="1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V35" i="23"/>
  <c r="U35" i="23"/>
  <c r="T35" i="23"/>
  <c r="V34" i="23"/>
  <c r="U34" i="23"/>
  <c r="T34" i="23"/>
  <c r="V33" i="23"/>
  <c r="U33" i="23"/>
  <c r="T33" i="23"/>
  <c r="V32" i="23"/>
  <c r="U32" i="23"/>
  <c r="T32" i="23"/>
  <c r="V31" i="23"/>
  <c r="U31" i="23"/>
  <c r="T31" i="23"/>
  <c r="AA30" i="23"/>
  <c r="V30" i="23"/>
  <c r="U30" i="23"/>
  <c r="T30" i="23"/>
  <c r="AA29" i="23"/>
  <c r="V29" i="23"/>
  <c r="U29" i="23"/>
  <c r="T29" i="23"/>
  <c r="AA28" i="23"/>
  <c r="V28" i="23"/>
  <c r="U28" i="23"/>
  <c r="T28" i="23"/>
  <c r="AA27" i="23"/>
  <c r="V27" i="23"/>
  <c r="U27" i="23"/>
  <c r="T27" i="23"/>
  <c r="AA26" i="23"/>
  <c r="V26" i="23"/>
  <c r="U26" i="23"/>
  <c r="T26" i="23"/>
  <c r="AA25" i="23"/>
  <c r="V25" i="23"/>
  <c r="U25" i="23"/>
  <c r="T25" i="23"/>
  <c r="AA24" i="23"/>
  <c r="V24" i="23"/>
  <c r="U24" i="23"/>
  <c r="T24" i="23"/>
  <c r="AA23" i="23"/>
  <c r="V23" i="23"/>
  <c r="U23" i="23"/>
  <c r="T23" i="23"/>
  <c r="AA22" i="23"/>
  <c r="V22" i="23"/>
  <c r="U22" i="23"/>
  <c r="T22" i="23"/>
  <c r="AA21" i="23"/>
  <c r="V21" i="23"/>
  <c r="U21" i="23"/>
  <c r="T21" i="23"/>
  <c r="V20" i="23"/>
  <c r="U20" i="23"/>
  <c r="T20" i="23"/>
  <c r="V19" i="23"/>
  <c r="U19" i="23"/>
  <c r="T19" i="23"/>
  <c r="V18" i="23"/>
  <c r="U18" i="23"/>
  <c r="T18" i="23"/>
  <c r="V17" i="23"/>
  <c r="U17" i="23"/>
  <c r="T17" i="23"/>
  <c r="V16" i="23"/>
  <c r="U16" i="23"/>
  <c r="T16" i="23"/>
  <c r="V15" i="23"/>
  <c r="U15" i="23"/>
  <c r="T15" i="23"/>
  <c r="V14" i="23"/>
  <c r="U14" i="23"/>
  <c r="T14" i="23"/>
  <c r="V13" i="23"/>
  <c r="U13" i="23"/>
  <c r="T13" i="23"/>
  <c r="V12" i="23"/>
  <c r="U12" i="23"/>
  <c r="T12" i="23"/>
  <c r="V11" i="23"/>
  <c r="U11" i="23"/>
  <c r="T11" i="23"/>
  <c r="Y3" i="23"/>
  <c r="F34" i="22"/>
  <c r="C34" i="22"/>
  <c r="B34" i="22"/>
  <c r="F33" i="22"/>
  <c r="C33" i="22"/>
  <c r="B33" i="22"/>
  <c r="F32" i="22"/>
  <c r="C32" i="22"/>
  <c r="B32" i="22"/>
  <c r="F31" i="22"/>
  <c r="C31" i="22"/>
  <c r="B31" i="22"/>
  <c r="F30" i="22"/>
  <c r="C30" i="22"/>
  <c r="B30" i="22"/>
  <c r="F29" i="22"/>
  <c r="C29" i="22"/>
  <c r="B29" i="22"/>
  <c r="F28" i="22"/>
  <c r="C28" i="22"/>
  <c r="B28" i="22"/>
  <c r="F27" i="22"/>
  <c r="C27" i="22"/>
  <c r="B27" i="22"/>
  <c r="F26" i="22"/>
  <c r="C26" i="22"/>
  <c r="B26" i="22"/>
  <c r="F25" i="22"/>
  <c r="C25" i="22"/>
  <c r="B25" i="22"/>
  <c r="F24" i="22"/>
  <c r="C24" i="22"/>
  <c r="B24" i="22"/>
  <c r="F23" i="22"/>
  <c r="C23" i="22"/>
  <c r="B23" i="22"/>
  <c r="F22" i="22"/>
  <c r="C22" i="22"/>
  <c r="B22" i="22"/>
  <c r="F21" i="22"/>
  <c r="C21" i="22"/>
  <c r="B21" i="22"/>
  <c r="F20" i="22"/>
  <c r="C20" i="22"/>
  <c r="B20" i="22"/>
  <c r="F19" i="22"/>
  <c r="C19" i="22"/>
  <c r="B19" i="22"/>
  <c r="F18" i="22"/>
  <c r="C18" i="22"/>
  <c r="B18" i="22"/>
  <c r="F17" i="22"/>
  <c r="C17" i="22"/>
  <c r="B17" i="22"/>
  <c r="F16" i="22"/>
  <c r="C16" i="22"/>
  <c r="B16" i="22"/>
  <c r="F15" i="22"/>
  <c r="C15" i="22"/>
  <c r="B15" i="22"/>
  <c r="F14" i="22"/>
  <c r="C14" i="22"/>
  <c r="B14" i="22"/>
  <c r="F13" i="22"/>
  <c r="C13" i="22"/>
  <c r="B13" i="22"/>
  <c r="F12" i="22"/>
  <c r="C12" i="22"/>
  <c r="B12" i="22"/>
  <c r="F11" i="22"/>
  <c r="C11" i="22"/>
  <c r="B11" i="22"/>
  <c r="F10" i="22"/>
  <c r="C10" i="22"/>
  <c r="B10" i="22"/>
  <c r="D8" i="22"/>
  <c r="B4" i="22"/>
  <c r="Y12" i="23"/>
  <c r="L140" i="10"/>
  <c r="L136" i="10"/>
  <c r="L135" i="10"/>
  <c r="L133" i="10"/>
  <c r="L131" i="10"/>
  <c r="L130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C125" i="10"/>
  <c r="AH40" i="44" s="1"/>
  <c r="A186" i="10"/>
  <c r="A185" i="10"/>
  <c r="A184" i="10"/>
  <c r="A183" i="10"/>
  <c r="J6" i="20"/>
  <c r="D150" i="10"/>
  <c r="AD13" i="44"/>
  <c r="AB6" i="44"/>
  <c r="A12" i="23"/>
  <c r="R12" i="23" s="1"/>
  <c r="A11" i="23"/>
  <c r="P12" i="23"/>
  <c r="Q12" i="23"/>
  <c r="A100" i="18"/>
  <c r="B100" i="18" s="1"/>
  <c r="A101" i="18"/>
  <c r="A106" i="18"/>
  <c r="B106" i="18" s="1"/>
  <c r="A107" i="18"/>
  <c r="B107" i="18" s="1"/>
  <c r="A108" i="18"/>
  <c r="A110" i="18"/>
  <c r="B110" i="18" s="1"/>
  <c r="A111" i="18"/>
  <c r="B111" i="18" s="1"/>
  <c r="A112" i="18"/>
  <c r="A116" i="18"/>
  <c r="A119" i="18"/>
  <c r="A127" i="18"/>
  <c r="A130" i="18"/>
  <c r="A147" i="18"/>
  <c r="A148" i="18" s="1"/>
  <c r="B148" i="18" s="1"/>
  <c r="B147" i="18"/>
  <c r="A149" i="18"/>
  <c r="A169" i="18"/>
  <c r="A178" i="18"/>
  <c r="B178" i="18" s="1"/>
  <c r="A179" i="18"/>
  <c r="B179" i="18" s="1"/>
  <c r="A180" i="18"/>
  <c r="B180" i="18" s="1"/>
  <c r="A181" i="18"/>
  <c r="B181" i="18" s="1"/>
  <c r="A182" i="18"/>
  <c r="A192" i="18"/>
  <c r="A99" i="18"/>
  <c r="B99" i="18" s="1"/>
  <c r="A3" i="18"/>
  <c r="A8" i="18"/>
  <c r="A13" i="18"/>
  <c r="B13" i="18" s="1"/>
  <c r="A14" i="18"/>
  <c r="A19" i="18"/>
  <c r="B19" i="18" s="1"/>
  <c r="A20" i="18"/>
  <c r="B20" i="18" s="1"/>
  <c r="A21" i="18"/>
  <c r="A23" i="18"/>
  <c r="B23" i="18" s="1"/>
  <c r="A24" i="18"/>
  <c r="B24" i="18" s="1"/>
  <c r="A25" i="18"/>
  <c r="A27" i="18"/>
  <c r="B27" i="18" s="1"/>
  <c r="A28" i="18"/>
  <c r="A30" i="18"/>
  <c r="B30" i="18" s="1"/>
  <c r="A31" i="18"/>
  <c r="B31" i="18" s="1"/>
  <c r="A32" i="18"/>
  <c r="A34" i="18"/>
  <c r="B34" i="18" s="1"/>
  <c r="A35" i="18"/>
  <c r="A39" i="18"/>
  <c r="B39" i="18" s="1"/>
  <c r="A40" i="18"/>
  <c r="B40" i="18" s="1"/>
  <c r="A41" i="18"/>
  <c r="B41" i="18" s="1"/>
  <c r="A42" i="18"/>
  <c r="A85" i="18"/>
  <c r="A96" i="18"/>
  <c r="B96" i="18" s="1"/>
  <c r="A97" i="18"/>
  <c r="B97" i="18" s="1"/>
  <c r="B4" i="20"/>
  <c r="B47" i="20"/>
  <c r="D47" i="20" s="1"/>
  <c r="B44" i="20"/>
  <c r="D44" i="20" s="1"/>
  <c r="B45" i="20"/>
  <c r="D45" i="20" s="1"/>
  <c r="B46" i="20"/>
  <c r="D46" i="20" s="1"/>
  <c r="A2" i="18"/>
  <c r="B2" i="18" s="1"/>
  <c r="F89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90" i="13"/>
  <c r="F91" i="13"/>
  <c r="F92" i="13"/>
  <c r="F93" i="13"/>
  <c r="F94" i="13"/>
  <c r="F6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40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C122" i="10"/>
  <c r="AH20" i="44" s="1"/>
  <c r="C123" i="10"/>
  <c r="AH30" i="44" s="1"/>
  <c r="C124" i="10"/>
  <c r="AH25" i="44" s="1"/>
  <c r="C126" i="10"/>
  <c r="AH35" i="44" s="1"/>
  <c r="C121" i="10"/>
  <c r="AH15" i="44"/>
  <c r="F2" i="13"/>
  <c r="C6" i="20"/>
  <c r="D8" i="20"/>
  <c r="AE33" i="23" l="1"/>
  <c r="S12" i="23"/>
  <c r="A98" i="18"/>
  <c r="B98" i="18" s="1"/>
  <c r="A102" i="18"/>
  <c r="B101" i="18"/>
  <c r="A128" i="18"/>
  <c r="B127" i="18"/>
  <c r="A131" i="18"/>
  <c r="B130" i="18"/>
  <c r="A120" i="18"/>
  <c r="B119" i="18"/>
  <c r="A109" i="18"/>
  <c r="B109" i="18" s="1"/>
  <c r="B108" i="18"/>
  <c r="W29" i="23"/>
  <c r="R11" i="23"/>
  <c r="S11" i="23"/>
  <c r="Q11" i="23"/>
  <c r="P11" i="23"/>
  <c r="A193" i="18"/>
  <c r="B192" i="18"/>
  <c r="A43" i="18"/>
  <c r="B42" i="18"/>
  <c r="A113" i="18"/>
  <c r="B112" i="18"/>
  <c r="A117" i="18"/>
  <c r="B116" i="18"/>
  <c r="A36" i="18"/>
  <c r="B35" i="18"/>
  <c r="U40" i="44"/>
  <c r="R40" i="44"/>
  <c r="S40" i="44"/>
  <c r="R41" i="44"/>
  <c r="S41" i="44"/>
  <c r="U41" i="44"/>
  <c r="A150" i="18"/>
  <c r="B149" i="18"/>
  <c r="A170" i="18"/>
  <c r="B169" i="18"/>
  <c r="A183" i="18"/>
  <c r="B182" i="18"/>
  <c r="A4" i="18"/>
  <c r="B3" i="18"/>
  <c r="A86" i="18"/>
  <c r="B85" i="18"/>
  <c r="J13" i="23"/>
  <c r="K13" i="23" s="1"/>
  <c r="F35" i="22"/>
  <c r="C11" i="20"/>
  <c r="F11" i="20"/>
  <c r="B11" i="20"/>
  <c r="E11" i="20"/>
  <c r="D11" i="20"/>
  <c r="B12" i="20"/>
  <c r="E12" i="20"/>
  <c r="F12" i="20"/>
  <c r="D12" i="20"/>
  <c r="C12" i="20"/>
  <c r="D13" i="20"/>
  <c r="E13" i="20"/>
  <c r="C13" i="20"/>
  <c r="D14" i="20"/>
  <c r="C14" i="20"/>
  <c r="F14" i="20"/>
  <c r="F15" i="20"/>
  <c r="E15" i="20"/>
  <c r="C15" i="20"/>
  <c r="B15" i="20"/>
  <c r="D15" i="20"/>
  <c r="B16" i="20"/>
  <c r="F16" i="20"/>
  <c r="E16" i="20"/>
  <c r="D16" i="20"/>
  <c r="C16" i="20"/>
  <c r="E17" i="20"/>
  <c r="C17" i="20"/>
  <c r="D18" i="20"/>
  <c r="C18" i="20"/>
  <c r="F18" i="20"/>
  <c r="F19" i="20"/>
  <c r="B19" i="20"/>
  <c r="C19" i="20"/>
  <c r="E19" i="20"/>
  <c r="D19" i="20"/>
  <c r="E20" i="20"/>
  <c r="F20" i="20"/>
  <c r="B20" i="20"/>
  <c r="D20" i="20"/>
  <c r="C20" i="20"/>
  <c r="E21" i="20"/>
  <c r="C21" i="20"/>
  <c r="C22" i="20"/>
  <c r="D22" i="20"/>
  <c r="F22" i="20"/>
  <c r="F23" i="20"/>
  <c r="B23" i="20"/>
  <c r="E23" i="20"/>
  <c r="C23" i="20"/>
  <c r="D23" i="20"/>
  <c r="C26" i="20"/>
  <c r="F26" i="20"/>
  <c r="AE39" i="23"/>
  <c r="AE14" i="23"/>
  <c r="AE34" i="23"/>
  <c r="AE19" i="23"/>
  <c r="AE24" i="23"/>
  <c r="AE29" i="23"/>
  <c r="A9" i="18"/>
  <c r="B8" i="18"/>
  <c r="A15" i="18"/>
  <c r="B14" i="18"/>
  <c r="A22" i="18"/>
  <c r="B22" i="18" s="1"/>
  <c r="B21" i="18"/>
  <c r="A26" i="18"/>
  <c r="B26" i="18" s="1"/>
  <c r="B25" i="18"/>
  <c r="A29" i="18"/>
  <c r="B29" i="18" s="1"/>
  <c r="B28" i="18"/>
  <c r="A33" i="18"/>
  <c r="B33" i="18" s="1"/>
  <c r="B32" i="18"/>
  <c r="J35" i="23"/>
  <c r="K35" i="23" s="1"/>
  <c r="U21" i="44"/>
  <c r="R21" i="44"/>
  <c r="S21" i="44"/>
  <c r="S25" i="44"/>
  <c r="U25" i="44"/>
  <c r="S26" i="44"/>
  <c r="U26" i="44"/>
  <c r="R26" i="44"/>
  <c r="U27" i="44"/>
  <c r="R27" i="44"/>
  <c r="S27" i="44"/>
  <c r="S28" i="44"/>
  <c r="R28" i="44"/>
  <c r="U28" i="44"/>
  <c r="R29" i="44"/>
  <c r="U29" i="44"/>
  <c r="S29" i="44"/>
  <c r="U30" i="44"/>
  <c r="R30" i="44"/>
  <c r="S30" i="44"/>
  <c r="R31" i="44"/>
  <c r="U31" i="44"/>
  <c r="S31" i="44"/>
  <c r="U32" i="44"/>
  <c r="R32" i="44"/>
  <c r="S32" i="44"/>
  <c r="R33" i="44"/>
  <c r="S33" i="44"/>
  <c r="U33" i="44"/>
  <c r="S34" i="44"/>
  <c r="U34" i="44"/>
  <c r="R34" i="44"/>
  <c r="U35" i="44"/>
  <c r="R35" i="44"/>
  <c r="S35" i="44"/>
  <c r="S36" i="44"/>
  <c r="U36" i="44"/>
  <c r="R36" i="44"/>
  <c r="B13" i="20"/>
  <c r="F13" i="20"/>
  <c r="B14" i="20"/>
  <c r="E14" i="20"/>
  <c r="B17" i="20"/>
  <c r="F17" i="20"/>
  <c r="D17" i="20"/>
  <c r="E18" i="20"/>
  <c r="B18" i="20"/>
  <c r="B21" i="20"/>
  <c r="F21" i="20"/>
  <c r="D21" i="20"/>
  <c r="E22" i="20"/>
  <c r="B22" i="20"/>
  <c r="E25" i="20"/>
  <c r="B25" i="20"/>
  <c r="F25" i="20"/>
  <c r="D25" i="20"/>
  <c r="D26" i="20"/>
  <c r="E26" i="20"/>
  <c r="B26" i="20"/>
  <c r="B29" i="20"/>
  <c r="F29" i="20"/>
  <c r="D29" i="20"/>
  <c r="E29" i="20"/>
  <c r="J34" i="23"/>
  <c r="K34" i="23" s="1"/>
  <c r="J33" i="23"/>
  <c r="K33" i="23" s="1"/>
  <c r="J32" i="23"/>
  <c r="K32" i="23" s="1"/>
  <c r="J31" i="23"/>
  <c r="K31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2" i="23"/>
  <c r="K12" i="23" s="1"/>
  <c r="S22" i="44"/>
  <c r="R22" i="44"/>
  <c r="U37" i="44"/>
  <c r="S37" i="44"/>
  <c r="U38" i="44"/>
  <c r="R38" i="44"/>
  <c r="S38" i="44"/>
  <c r="R39" i="44"/>
  <c r="U39" i="44"/>
  <c r="AD32" i="44"/>
  <c r="J11" i="23"/>
  <c r="K11" i="23" s="1"/>
  <c r="J30" i="23"/>
  <c r="K30" i="23" s="1"/>
  <c r="S23" i="44"/>
  <c r="U23" i="44"/>
  <c r="U24" i="44"/>
  <c r="S24" i="44"/>
  <c r="AH41" i="44"/>
  <c r="AH16" i="44"/>
  <c r="AH36" i="44"/>
  <c r="AH21" i="44"/>
  <c r="AH26" i="44"/>
  <c r="AH31" i="44"/>
  <c r="B24" i="20"/>
  <c r="F24" i="20"/>
  <c r="C24" i="20"/>
  <c r="E24" i="20"/>
  <c r="D24" i="20"/>
  <c r="C27" i="20"/>
  <c r="D27" i="20"/>
  <c r="F27" i="20"/>
  <c r="B27" i="20"/>
  <c r="E27" i="20"/>
  <c r="B28" i="20"/>
  <c r="C28" i="20"/>
  <c r="F28" i="20"/>
  <c r="E28" i="20"/>
  <c r="D28" i="20"/>
  <c r="D30" i="20"/>
  <c r="C30" i="20"/>
  <c r="B30" i="20"/>
  <c r="E30" i="20"/>
  <c r="F30" i="20"/>
  <c r="D31" i="20"/>
  <c r="C31" i="20"/>
  <c r="B31" i="20"/>
  <c r="F31" i="20"/>
  <c r="E31" i="20"/>
  <c r="B32" i="20"/>
  <c r="F32" i="20"/>
  <c r="E32" i="20"/>
  <c r="C32" i="20"/>
  <c r="D32" i="20"/>
  <c r="B33" i="20"/>
  <c r="F33" i="20"/>
  <c r="E33" i="20"/>
  <c r="D33" i="20"/>
  <c r="C33" i="20"/>
  <c r="E34" i="20"/>
  <c r="C34" i="20"/>
  <c r="B34" i="20"/>
  <c r="D34" i="20"/>
  <c r="F34" i="20"/>
  <c r="B10" i="20"/>
  <c r="E10" i="20"/>
  <c r="D10" i="20"/>
  <c r="C10" i="20"/>
  <c r="F10" i="20"/>
  <c r="B43" i="22"/>
  <c r="D43" i="22" s="1"/>
  <c r="P13" i="23"/>
  <c r="R13" i="23"/>
  <c r="S13" i="23"/>
  <c r="Q13" i="23"/>
  <c r="R14" i="23"/>
  <c r="P14" i="23"/>
  <c r="Q14" i="23"/>
  <c r="S14" i="23"/>
  <c r="P15" i="23"/>
  <c r="S15" i="23"/>
  <c r="R15" i="23"/>
  <c r="Q15" i="23"/>
  <c r="Q16" i="23"/>
  <c r="S16" i="23"/>
  <c r="P16" i="23"/>
  <c r="R16" i="23"/>
  <c r="Q17" i="23"/>
  <c r="S17" i="23"/>
  <c r="P17" i="23"/>
  <c r="R17" i="23"/>
  <c r="S18" i="23"/>
  <c r="P18" i="23"/>
  <c r="Q18" i="23"/>
  <c r="R18" i="23"/>
  <c r="Q19" i="23"/>
  <c r="R19" i="23"/>
  <c r="S19" i="23"/>
  <c r="P19" i="23"/>
  <c r="S20" i="23"/>
  <c r="Q20" i="23"/>
  <c r="P20" i="23"/>
  <c r="R20" i="23"/>
  <c r="Q21" i="23"/>
  <c r="S21" i="23"/>
  <c r="R21" i="23"/>
  <c r="P21" i="23"/>
  <c r="S22" i="23"/>
  <c r="P22" i="23"/>
  <c r="Q22" i="23"/>
  <c r="R22" i="23"/>
  <c r="R23" i="23"/>
  <c r="P23" i="23"/>
  <c r="S23" i="23"/>
  <c r="Q23" i="23"/>
  <c r="P24" i="23"/>
  <c r="S24" i="23"/>
  <c r="R24" i="23"/>
  <c r="Q24" i="23"/>
  <c r="R25" i="23"/>
  <c r="S25" i="23"/>
  <c r="Q25" i="23"/>
  <c r="P25" i="23"/>
  <c r="Q26" i="23"/>
  <c r="R26" i="23"/>
  <c r="S26" i="23"/>
  <c r="P26" i="23"/>
  <c r="Q27" i="23"/>
  <c r="R27" i="23"/>
  <c r="S27" i="23"/>
  <c r="P27" i="23"/>
  <c r="R28" i="23"/>
  <c r="S28" i="23"/>
  <c r="Q28" i="23"/>
  <c r="P28" i="23"/>
  <c r="Q29" i="23"/>
  <c r="S29" i="23"/>
  <c r="R29" i="23"/>
  <c r="P29" i="23"/>
  <c r="S30" i="23"/>
  <c r="R30" i="23"/>
  <c r="Q30" i="23"/>
  <c r="P30" i="23"/>
  <c r="Q31" i="23"/>
  <c r="R31" i="23"/>
  <c r="P31" i="23"/>
  <c r="S31" i="23"/>
  <c r="P32" i="23"/>
  <c r="S32" i="23"/>
  <c r="R32" i="23"/>
  <c r="Q32" i="23"/>
  <c r="S33" i="23"/>
  <c r="R33" i="23"/>
  <c r="P33" i="23"/>
  <c r="Q33" i="23"/>
  <c r="Q34" i="23"/>
  <c r="P34" i="23"/>
  <c r="R34" i="23"/>
  <c r="S34" i="23"/>
  <c r="P35" i="23"/>
  <c r="Q35" i="23"/>
  <c r="R35" i="23"/>
  <c r="S35" i="23"/>
  <c r="R25" i="44"/>
  <c r="R24" i="44"/>
  <c r="R16" i="44"/>
  <c r="AE23" i="23"/>
  <c r="AE13" i="23"/>
  <c r="AE18" i="23"/>
  <c r="AE38" i="23"/>
  <c r="AE28" i="23"/>
  <c r="S20" i="44"/>
  <c r="AD35" i="44"/>
  <c r="U20" i="44"/>
  <c r="R19" i="44"/>
  <c r="U18" i="44"/>
  <c r="U19" i="44"/>
  <c r="R17" i="44"/>
  <c r="S15" i="44"/>
  <c r="U15" i="44"/>
  <c r="S18" i="44"/>
  <c r="S17" i="44"/>
  <c r="S16" i="44"/>
  <c r="F37" i="49"/>
  <c r="AD12" i="44"/>
  <c r="AD15" i="44" s="1"/>
  <c r="AB9" i="44"/>
  <c r="AA45" i="44" s="1"/>
  <c r="A103" i="18" l="1"/>
  <c r="B102" i="18"/>
  <c r="B128" i="18"/>
  <c r="A129" i="18"/>
  <c r="B129" i="18" s="1"/>
  <c r="A132" i="18"/>
  <c r="B131" i="18"/>
  <c r="B120" i="18"/>
  <c r="A121" i="18"/>
  <c r="B47" i="22"/>
  <c r="D47" i="22" s="1"/>
  <c r="B44" i="22"/>
  <c r="D44" i="22" s="1"/>
  <c r="B45" i="22"/>
  <c r="D45" i="22" s="1"/>
  <c r="B46" i="22"/>
  <c r="D46" i="22" s="1"/>
  <c r="A118" i="18"/>
  <c r="B118" i="18" s="1"/>
  <c r="B117" i="18"/>
  <c r="B193" i="18"/>
  <c r="A194" i="18"/>
  <c r="A44" i="18"/>
  <c r="B43" i="18"/>
  <c r="B113" i="18"/>
  <c r="A114" i="18"/>
  <c r="B114" i="18" s="1"/>
  <c r="A37" i="18"/>
  <c r="B36" i="18"/>
  <c r="A151" i="18"/>
  <c r="B150" i="18"/>
  <c r="B170" i="18"/>
  <c r="A171" i="18"/>
  <c r="A184" i="18"/>
  <c r="B183" i="18"/>
  <c r="A5" i="18"/>
  <c r="B4" i="18"/>
  <c r="A87" i="18"/>
  <c r="B86" i="18"/>
  <c r="AD34" i="44"/>
  <c r="B9" i="18"/>
  <c r="A10" i="18"/>
  <c r="A16" i="18"/>
  <c r="B15" i="18"/>
  <c r="Y17" i="23"/>
  <c r="Y11" i="23"/>
  <c r="Y14" i="23" s="1"/>
  <c r="AD49" i="44"/>
  <c r="AD50" i="44" s="1"/>
  <c r="F35" i="20"/>
  <c r="Y16" i="23"/>
  <c r="Z9" i="44"/>
  <c r="B103" i="18" l="1"/>
  <c r="A104" i="18"/>
  <c r="A133" i="18"/>
  <c r="B132" i="18"/>
  <c r="A122" i="18"/>
  <c r="B121" i="18"/>
  <c r="A195" i="18"/>
  <c r="B194" i="18"/>
  <c r="B16" i="18"/>
  <c r="A17" i="18"/>
  <c r="A45" i="18"/>
  <c r="B44" i="18"/>
  <c r="B37" i="18"/>
  <c r="A38" i="18"/>
  <c r="B38" i="18" s="1"/>
  <c r="B151" i="18"/>
  <c r="A152" i="18"/>
  <c r="B184" i="18"/>
  <c r="A185" i="18"/>
  <c r="A88" i="18"/>
  <c r="B87" i="18"/>
  <c r="AH22" i="44"/>
  <c r="AH37" i="44"/>
  <c r="AH27" i="44"/>
  <c r="AH32" i="44"/>
  <c r="B171" i="18"/>
  <c r="A172" i="18"/>
  <c r="A6" i="18"/>
  <c r="B5" i="18"/>
  <c r="AD37" i="44"/>
  <c r="AH17" i="44"/>
  <c r="AH42" i="44"/>
  <c r="A11" i="18"/>
  <c r="B10" i="18"/>
  <c r="AE15" i="23"/>
  <c r="AE25" i="23"/>
  <c r="AE30" i="23"/>
  <c r="AE35" i="23"/>
  <c r="AE40" i="23"/>
  <c r="AE20" i="23"/>
  <c r="Y18" i="23"/>
  <c r="AD5" i="23" s="1"/>
  <c r="A105" i="18" l="1"/>
  <c r="B105" i="18" s="1"/>
  <c r="B104" i="18"/>
  <c r="A134" i="18"/>
  <c r="B133" i="18"/>
  <c r="B122" i="18"/>
  <c r="A123" i="18"/>
  <c r="A196" i="18"/>
  <c r="B196" i="18" s="1"/>
  <c r="B195" i="18"/>
  <c r="B17" i="18"/>
  <c r="A18" i="18"/>
  <c r="B18" i="18" s="1"/>
  <c r="B45" i="18"/>
  <c r="A46" i="18"/>
  <c r="B6" i="18"/>
  <c r="A7" i="18"/>
  <c r="B7" i="18" s="1"/>
  <c r="B152" i="18"/>
  <c r="A153" i="18"/>
  <c r="B185" i="18"/>
  <c r="A186" i="18"/>
  <c r="A89" i="18"/>
  <c r="B88" i="18"/>
  <c r="A173" i="18"/>
  <c r="B172" i="18"/>
  <c r="C6" i="49"/>
  <c r="AI6" i="44"/>
  <c r="B11" i="18"/>
  <c r="A12" i="18"/>
  <c r="B12" i="18" s="1"/>
  <c r="AD3" i="23"/>
  <c r="C6" i="22"/>
  <c r="B134" i="18" l="1"/>
  <c r="A135" i="18"/>
  <c r="B123" i="18"/>
  <c r="A124" i="18"/>
  <c r="A47" i="18"/>
  <c r="B46" i="18"/>
  <c r="A154" i="18"/>
  <c r="B153" i="18"/>
  <c r="B186" i="18"/>
  <c r="A187" i="18"/>
  <c r="A90" i="18"/>
  <c r="B89" i="18"/>
  <c r="A174" i="18"/>
  <c r="B173" i="18"/>
  <c r="AI2" i="44"/>
  <c r="AM2" i="44"/>
  <c r="AN2" i="44" s="1"/>
  <c r="B124" i="18" l="1"/>
  <c r="A125" i="18"/>
  <c r="A136" i="18"/>
  <c r="B135" i="18"/>
  <c r="A48" i="18"/>
  <c r="B47" i="18"/>
  <c r="B174" i="18"/>
  <c r="A175" i="18"/>
  <c r="A155" i="18"/>
  <c r="B154" i="18"/>
  <c r="A188" i="18"/>
  <c r="B187" i="18"/>
  <c r="A91" i="18"/>
  <c r="B90" i="18"/>
  <c r="B125" i="18" l="1"/>
  <c r="A126" i="18"/>
  <c r="B126" i="18" s="1"/>
  <c r="B136" i="18"/>
  <c r="A137" i="18"/>
  <c r="A49" i="18"/>
  <c r="B48" i="18"/>
  <c r="A92" i="18"/>
  <c r="B91" i="18"/>
  <c r="B175" i="18"/>
  <c r="A176" i="18"/>
  <c r="B155" i="18"/>
  <c r="A156" i="18"/>
  <c r="B188" i="18"/>
  <c r="A189" i="18"/>
  <c r="B137" i="18" l="1"/>
  <c r="A138" i="18"/>
  <c r="A93" i="18"/>
  <c r="B92" i="18"/>
  <c r="A157" i="18"/>
  <c r="B156" i="18"/>
  <c r="A50" i="18"/>
  <c r="B49" i="18"/>
  <c r="A177" i="18"/>
  <c r="B177" i="18" s="1"/>
  <c r="B176" i="18"/>
  <c r="A190" i="18"/>
  <c r="B189" i="18"/>
  <c r="B138" i="18" l="1"/>
  <c r="A139" i="18"/>
  <c r="B157" i="18"/>
  <c r="A158" i="18"/>
  <c r="B93" i="18"/>
  <c r="A94" i="18"/>
  <c r="B50" i="18"/>
  <c r="A51" i="18"/>
  <c r="B190" i="18"/>
  <c r="A191" i="18"/>
  <c r="B191" i="18" s="1"/>
  <c r="B139" i="18" l="1"/>
  <c r="A140" i="18"/>
  <c r="B158" i="18"/>
  <c r="A159" i="18"/>
  <c r="B51" i="18"/>
  <c r="A52" i="18"/>
  <c r="B94" i="18"/>
  <c r="A95" i="18"/>
  <c r="B95" i="18" s="1"/>
  <c r="B140" i="18" l="1"/>
  <c r="A141" i="18"/>
  <c r="B159" i="18"/>
  <c r="A160" i="18"/>
  <c r="A53" i="18"/>
  <c r="B52" i="18"/>
  <c r="A142" i="18" l="1"/>
  <c r="B141" i="18"/>
  <c r="B160" i="18"/>
  <c r="A161" i="18"/>
  <c r="A54" i="18"/>
  <c r="B53" i="18"/>
  <c r="A143" i="18" l="1"/>
  <c r="B142" i="18"/>
  <c r="B161" i="18"/>
  <c r="A162" i="18"/>
  <c r="A55" i="18"/>
  <c r="B54" i="18"/>
  <c r="B143" i="18" l="1"/>
  <c r="A144" i="18"/>
  <c r="B162" i="18"/>
  <c r="A163" i="18"/>
  <c r="B55" i="18"/>
  <c r="A56" i="18"/>
  <c r="B144" i="18" l="1"/>
  <c r="A145" i="18"/>
  <c r="A164" i="18"/>
  <c r="B163" i="18"/>
  <c r="B56" i="18"/>
  <c r="A57" i="18"/>
  <c r="B145" i="18" l="1"/>
  <c r="A146" i="18"/>
  <c r="B146" i="18" s="1"/>
  <c r="B164" i="18"/>
  <c r="A165" i="18"/>
  <c r="B57" i="18"/>
  <c r="A58" i="18"/>
  <c r="A166" i="18" l="1"/>
  <c r="B165" i="18"/>
  <c r="A59" i="18"/>
  <c r="B58" i="18"/>
  <c r="B59" i="18" l="1"/>
  <c r="A60" i="18"/>
  <c r="A167" i="18"/>
  <c r="B166" i="18"/>
  <c r="B60" i="18" l="1"/>
  <c r="A61" i="18"/>
  <c r="A168" i="18"/>
  <c r="B168" i="18" s="1"/>
  <c r="B167" i="18"/>
  <c r="B61" i="18" l="1"/>
  <c r="A62" i="18"/>
  <c r="B62" i="18" l="1"/>
  <c r="A63" i="18"/>
  <c r="B63" i="18" l="1"/>
  <c r="A64" i="18"/>
  <c r="A65" i="18" l="1"/>
  <c r="B64" i="18"/>
  <c r="A66" i="18" l="1"/>
  <c r="B65" i="18"/>
  <c r="A67" i="18" l="1"/>
  <c r="B66" i="18"/>
  <c r="B67" i="18" l="1"/>
  <c r="A68" i="18"/>
  <c r="B68" i="18" l="1"/>
  <c r="A69" i="18"/>
  <c r="A70" i="18" l="1"/>
  <c r="B69" i="18"/>
  <c r="A71" i="18" l="1"/>
  <c r="B70" i="18"/>
  <c r="B71" i="18" l="1"/>
  <c r="A72" i="18"/>
  <c r="A73" i="18" l="1"/>
  <c r="B72" i="18"/>
  <c r="B73" i="18" l="1"/>
  <c r="A74" i="18"/>
  <c r="A75" i="18" l="1"/>
  <c r="B74" i="18"/>
  <c r="B75" i="18" l="1"/>
  <c r="A76" i="18"/>
  <c r="B76" i="18" l="1"/>
  <c r="A77" i="18"/>
  <c r="B77" i="18" s="1"/>
  <c r="A78" i="18"/>
  <c r="A79" i="18" l="1"/>
  <c r="B78" i="18"/>
  <c r="A80" i="18" l="1"/>
  <c r="B79" i="18"/>
  <c r="B80" i="18" l="1"/>
  <c r="A81" i="18"/>
  <c r="A82" i="18" l="1"/>
  <c r="B81" i="18"/>
  <c r="B82" i="18" l="1"/>
  <c r="A83" i="18"/>
  <c r="B83" i="18" l="1"/>
  <c r="A84" i="18"/>
  <c r="B84" i="18" s="1"/>
  <c r="AK46" i="44" s="1"/>
  <c r="AH35" i="23" l="1"/>
  <c r="AL19" i="44"/>
  <c r="AL39" i="44"/>
  <c r="AH54" i="23"/>
  <c r="AL21" i="44"/>
  <c r="AK19" i="44"/>
  <c r="AM19" i="44" s="1"/>
  <c r="AN19" i="44" s="1"/>
  <c r="AO19" i="44" s="1"/>
  <c r="AP19" i="44" s="1"/>
  <c r="AH22" i="23"/>
  <c r="AK18" i="44"/>
  <c r="AL54" i="44"/>
  <c r="AH27" i="23"/>
  <c r="AI49" i="23"/>
  <c r="AK24" i="44"/>
  <c r="AM24" i="44" s="1"/>
  <c r="AN24" i="44" s="1"/>
  <c r="AO24" i="44" s="1"/>
  <c r="AP24" i="44" s="1"/>
  <c r="AH51" i="23"/>
  <c r="AK38" i="44"/>
  <c r="AM38" i="44" s="1"/>
  <c r="AN38" i="44" s="1"/>
  <c r="AO38" i="44" s="1"/>
  <c r="AP38" i="44" s="1"/>
  <c r="AH48" i="23"/>
  <c r="AK22" i="44"/>
  <c r="AM22" i="44" s="1"/>
  <c r="AN22" i="44" s="1"/>
  <c r="AO22" i="44" s="1"/>
  <c r="AP22" i="44" s="1"/>
  <c r="AI16" i="23"/>
  <c r="AL20" i="44"/>
  <c r="AK16" i="44"/>
  <c r="AH25" i="23"/>
  <c r="AI32" i="23"/>
  <c r="AH49" i="23"/>
  <c r="AK52" i="44"/>
  <c r="AI40" i="23"/>
  <c r="AH34" i="23"/>
  <c r="AI48" i="23"/>
  <c r="AK47" i="44"/>
  <c r="AK50" i="44"/>
  <c r="AK30" i="44"/>
  <c r="AM30" i="44" s="1"/>
  <c r="AN30" i="44" s="1"/>
  <c r="AO30" i="44" s="1"/>
  <c r="AP30" i="44" s="1"/>
  <c r="AL27" i="44"/>
  <c r="AH47" i="23"/>
  <c r="AI50" i="23"/>
  <c r="AH52" i="23"/>
  <c r="AH36" i="23"/>
  <c r="AI18" i="23"/>
  <c r="AL36" i="44"/>
  <c r="AK51" i="44"/>
  <c r="AK40" i="44"/>
  <c r="AM40" i="44" s="1"/>
  <c r="AN40" i="44" s="1"/>
  <c r="AO40" i="44" s="1"/>
  <c r="AP40" i="44" s="1"/>
  <c r="AI43" i="23"/>
  <c r="AH21" i="23"/>
  <c r="AI54" i="23"/>
  <c r="AI25" i="23"/>
  <c r="AL43" i="44"/>
  <c r="AL25" i="44"/>
  <c r="AL31" i="44"/>
  <c r="AL57" i="44"/>
  <c r="AL56" i="44"/>
  <c r="AL50" i="44"/>
  <c r="AL18" i="44"/>
  <c r="AL35" i="44"/>
  <c r="AH13" i="23"/>
  <c r="AL51" i="44"/>
  <c r="AH46" i="23"/>
  <c r="AH40" i="23"/>
  <c r="AK37" i="44"/>
  <c r="AM37" i="44" s="1"/>
  <c r="AN37" i="44" s="1"/>
  <c r="AO37" i="44" s="1"/>
  <c r="AP37" i="44" s="1"/>
  <c r="AI37" i="23"/>
  <c r="AI41" i="23"/>
  <c r="AK57" i="44"/>
  <c r="AI33" i="23"/>
  <c r="AI21" i="23"/>
  <c r="AI24" i="23"/>
  <c r="AL37" i="44"/>
  <c r="AI28" i="23"/>
  <c r="AK48" i="44"/>
  <c r="AL30" i="44"/>
  <c r="AL32" i="44"/>
  <c r="AL15" i="44"/>
  <c r="AK28" i="44"/>
  <c r="AM28" i="44" s="1"/>
  <c r="AN28" i="44" s="1"/>
  <c r="AO28" i="44" s="1"/>
  <c r="AP28" i="44" s="1"/>
  <c r="AK33" i="44"/>
  <c r="AM33" i="44" s="1"/>
  <c r="AN33" i="44" s="1"/>
  <c r="AO33" i="44" s="1"/>
  <c r="AP33" i="44" s="1"/>
  <c r="AL33" i="44"/>
  <c r="AK15" i="44"/>
  <c r="AM15" i="44" s="1"/>
  <c r="AN15" i="44" s="1"/>
  <c r="AO15" i="44" s="1"/>
  <c r="AP15" i="44" s="1"/>
  <c r="AL17" i="44"/>
  <c r="AL38" i="44"/>
  <c r="AL40" i="44"/>
  <c r="AK32" i="44"/>
  <c r="AM32" i="44" s="1"/>
  <c r="AN32" i="44" s="1"/>
  <c r="AO32" i="44" s="1"/>
  <c r="AP32" i="44" s="1"/>
  <c r="AH23" i="23"/>
  <c r="AK34" i="44"/>
  <c r="AM34" i="44" s="1"/>
  <c r="AN34" i="44" s="1"/>
  <c r="AO34" i="44" s="1"/>
  <c r="AP34" i="44" s="1"/>
  <c r="AK44" i="44"/>
  <c r="AL34" i="44"/>
  <c r="AL45" i="44"/>
  <c r="AL47" i="44"/>
  <c r="AH19" i="23"/>
  <c r="AK29" i="44"/>
  <c r="AM29" i="44" s="1"/>
  <c r="AN29" i="44" s="1"/>
  <c r="AO29" i="44" s="1"/>
  <c r="AP29" i="44" s="1"/>
  <c r="AH45" i="23"/>
  <c r="AH29" i="23"/>
  <c r="AK54" i="44"/>
  <c r="AH33" i="23"/>
  <c r="AH15" i="23"/>
  <c r="AH41" i="23"/>
  <c r="AH32" i="23"/>
  <c r="AK31" i="44"/>
  <c r="AM31" i="44" s="1"/>
  <c r="AN31" i="44" s="1"/>
  <c r="AO31" i="44" s="1"/>
  <c r="AP31" i="44" s="1"/>
  <c r="AI46" i="23"/>
  <c r="AI42" i="23"/>
  <c r="AK25" i="44"/>
  <c r="AM25" i="44" s="1"/>
  <c r="AN25" i="44" s="1"/>
  <c r="AO25" i="44" s="1"/>
  <c r="AP25" i="44" s="1"/>
  <c r="AH16" i="23"/>
  <c r="AL42" i="44"/>
  <c r="AL24" i="44"/>
  <c r="AH38" i="23"/>
  <c r="AI47" i="23"/>
  <c r="AI13" i="23"/>
  <c r="AL55" i="44"/>
  <c r="AL53" i="44"/>
  <c r="AI31" i="23"/>
  <c r="AI29" i="23"/>
  <c r="AI34" i="23"/>
  <c r="AL44" i="44"/>
  <c r="AH43" i="23"/>
  <c r="AI27" i="23"/>
  <c r="AH44" i="23"/>
  <c r="AK36" i="44"/>
  <c r="AM36" i="44" s="1"/>
  <c r="AN36" i="44" s="1"/>
  <c r="AO36" i="44" s="1"/>
  <c r="AP36" i="44" s="1"/>
  <c r="AK45" i="44"/>
  <c r="AK39" i="44"/>
  <c r="AM39" i="44" s="1"/>
  <c r="AN39" i="44" s="1"/>
  <c r="AO39" i="44" s="1"/>
  <c r="AP39" i="44" s="1"/>
  <c r="AK55" i="44"/>
  <c r="AI52" i="23"/>
  <c r="AI51" i="23"/>
  <c r="AL26" i="44"/>
  <c r="AH17" i="23"/>
  <c r="AI35" i="23"/>
  <c r="AK35" i="44"/>
  <c r="AM35" i="44" s="1"/>
  <c r="AN35" i="44" s="1"/>
  <c r="AO35" i="44" s="1"/>
  <c r="AP35" i="44" s="1"/>
  <c r="AH18" i="23"/>
  <c r="AH42" i="23"/>
  <c r="AL28" i="44"/>
  <c r="AK20" i="44"/>
  <c r="AM20" i="44" s="1"/>
  <c r="AN20" i="44" s="1"/>
  <c r="AO20" i="44" s="1"/>
  <c r="AP20" i="44" s="1"/>
  <c r="AH31" i="23"/>
  <c r="AI26" i="23"/>
  <c r="AH26" i="23"/>
  <c r="AI22" i="23"/>
  <c r="AI14" i="23"/>
  <c r="AK49" i="44"/>
  <c r="AL22" i="44"/>
  <c r="AK17" i="44"/>
  <c r="AM17" i="44" s="1"/>
  <c r="AN17" i="44" s="1"/>
  <c r="AO17" i="44" s="1"/>
  <c r="AP17" i="44" s="1"/>
  <c r="AK26" i="44"/>
  <c r="AM26" i="44" s="1"/>
  <c r="AN26" i="44" s="1"/>
  <c r="AO26" i="44" s="1"/>
  <c r="AP26" i="44" s="1"/>
  <c r="AI39" i="23"/>
  <c r="AL49" i="44"/>
  <c r="AI19" i="23"/>
  <c r="AK23" i="44"/>
  <c r="AM23" i="44" s="1"/>
  <c r="AN23" i="44" s="1"/>
  <c r="AO23" i="44" s="1"/>
  <c r="AP23" i="44" s="1"/>
  <c r="AL52" i="44"/>
  <c r="AI23" i="23"/>
  <c r="AH20" i="23"/>
  <c r="AI38" i="23"/>
  <c r="AI53" i="23"/>
  <c r="AK42" i="44"/>
  <c r="AI20" i="23"/>
  <c r="AH37" i="23"/>
  <c r="AH53" i="23"/>
  <c r="AK21" i="44"/>
  <c r="AM21" i="44" s="1"/>
  <c r="AN21" i="44" s="1"/>
  <c r="AO21" i="44" s="1"/>
  <c r="AP21" i="44" s="1"/>
  <c r="AH39" i="23"/>
  <c r="AI44" i="23"/>
  <c r="AL29" i="44"/>
  <c r="AK53" i="44"/>
  <c r="AH30" i="23"/>
  <c r="AI36" i="23"/>
  <c r="AI30" i="23"/>
  <c r="AL48" i="44"/>
  <c r="AK43" i="44"/>
  <c r="AI45" i="23"/>
  <c r="AH24" i="23"/>
  <c r="AL46" i="44"/>
  <c r="AK56" i="44"/>
  <c r="AK27" i="44"/>
  <c r="AM27" i="44" s="1"/>
  <c r="AN27" i="44" s="1"/>
  <c r="AO27" i="44" s="1"/>
  <c r="AP27" i="44" s="1"/>
  <c r="AH14" i="23"/>
  <c r="AH50" i="23"/>
  <c r="AH28" i="23"/>
  <c r="AL16" i="44"/>
  <c r="AI15" i="23"/>
  <c r="AL23" i="44"/>
  <c r="AI17" i="23"/>
  <c r="AP46" i="44"/>
  <c r="AO46" i="44"/>
  <c r="AM46" i="44"/>
  <c r="AN46" i="44" s="1"/>
  <c r="AM18" i="44" l="1"/>
  <c r="AN18" i="44" s="1"/>
  <c r="AO18" i="44" s="1"/>
  <c r="AP18" i="44" s="1"/>
  <c r="AM16" i="44"/>
  <c r="AN16" i="44" s="1"/>
  <c r="AO16" i="44" s="1"/>
  <c r="AP16" i="44" s="1"/>
  <c r="AK35" i="23"/>
  <c r="AM35" i="23"/>
  <c r="AL35" i="23"/>
  <c r="AJ35" i="23"/>
  <c r="AJ13" i="23"/>
  <c r="AK13" i="23" s="1"/>
  <c r="AL13" i="23" s="1"/>
  <c r="AM13" i="23" s="1"/>
  <c r="AJ16" i="23"/>
  <c r="AK16" i="23" s="1"/>
  <c r="AL16" i="23" s="1"/>
  <c r="AM16" i="23" s="1"/>
  <c r="AJ54" i="23"/>
  <c r="AM54" i="23"/>
  <c r="AL54" i="23"/>
  <c r="AK54" i="23"/>
  <c r="AK22" i="23"/>
  <c r="AJ22" i="23"/>
  <c r="AL22" i="23"/>
  <c r="AM22" i="23"/>
  <c r="AJ27" i="23"/>
  <c r="AM27" i="23"/>
  <c r="AK27" i="23"/>
  <c r="AL27" i="23"/>
  <c r="AJ51" i="23"/>
  <c r="AK51" i="23"/>
  <c r="AL51" i="23"/>
  <c r="AM51" i="23"/>
  <c r="AM48" i="23"/>
  <c r="AK48" i="23"/>
  <c r="AJ48" i="23"/>
  <c r="AL48" i="23"/>
  <c r="AJ25" i="23"/>
  <c r="AK25" i="23"/>
  <c r="AL25" i="23"/>
  <c r="AM25" i="23"/>
  <c r="AK49" i="23"/>
  <c r="AM49" i="23"/>
  <c r="AJ49" i="23"/>
  <c r="AL49" i="23"/>
  <c r="AM52" i="44"/>
  <c r="AN52" i="44" s="1"/>
  <c r="AO52" i="44"/>
  <c r="AP52" i="44"/>
  <c r="AM34" i="23"/>
  <c r="AL34" i="23"/>
  <c r="AJ34" i="23"/>
  <c r="AK34" i="23"/>
  <c r="AM47" i="44"/>
  <c r="AN47" i="44" s="1"/>
  <c r="AP47" i="44"/>
  <c r="AO47" i="44"/>
  <c r="AM50" i="44"/>
  <c r="AN50" i="44" s="1"/>
  <c r="AP50" i="44"/>
  <c r="AO50" i="44"/>
  <c r="AJ47" i="23"/>
  <c r="AL47" i="23"/>
  <c r="AK47" i="23"/>
  <c r="AM47" i="23"/>
  <c r="AM52" i="23"/>
  <c r="AK52" i="23"/>
  <c r="AJ52" i="23"/>
  <c r="AL52" i="23"/>
  <c r="AK36" i="23"/>
  <c r="AL36" i="23"/>
  <c r="AJ36" i="23"/>
  <c r="AM36" i="23"/>
  <c r="AM51" i="44"/>
  <c r="AN51" i="44" s="1"/>
  <c r="AP51" i="44"/>
  <c r="AO51" i="44"/>
  <c r="AJ21" i="23"/>
  <c r="AK21" i="23" s="1"/>
  <c r="AL21" i="23" s="1"/>
  <c r="AM21" i="23" s="1"/>
  <c r="AJ46" i="23"/>
  <c r="AK46" i="23"/>
  <c r="AM46" i="23"/>
  <c r="AL46" i="23"/>
  <c r="AJ40" i="23"/>
  <c r="AL40" i="23"/>
  <c r="AM40" i="23"/>
  <c r="AK40" i="23"/>
  <c r="AP57" i="44"/>
  <c r="AM57" i="44"/>
  <c r="AN57" i="44" s="1"/>
  <c r="AO57" i="44"/>
  <c r="AO48" i="44"/>
  <c r="AM48" i="44"/>
  <c r="AN48" i="44" s="1"/>
  <c r="AP48" i="44"/>
  <c r="AL23" i="23"/>
  <c r="AM23" i="23"/>
  <c r="AJ23" i="23"/>
  <c r="AK23" i="23"/>
  <c r="AP44" i="44"/>
  <c r="AO44" i="44"/>
  <c r="AM44" i="44"/>
  <c r="AN44" i="44" s="1"/>
  <c r="AK45" i="23"/>
  <c r="AL45" i="23"/>
  <c r="AM45" i="23"/>
  <c r="AJ45" i="23"/>
  <c r="AJ29" i="23"/>
  <c r="AL29" i="23"/>
  <c r="AK29" i="23"/>
  <c r="AM29" i="23"/>
  <c r="AO54" i="44"/>
  <c r="AP54" i="44"/>
  <c r="AM54" i="44"/>
  <c r="AN54" i="44" s="1"/>
  <c r="AM33" i="23"/>
  <c r="AJ33" i="23"/>
  <c r="AL33" i="23"/>
  <c r="AK33" i="23"/>
  <c r="AL41" i="23"/>
  <c r="AJ41" i="23"/>
  <c r="AM41" i="23"/>
  <c r="AK41" i="23"/>
  <c r="AK32" i="23"/>
  <c r="AL32" i="23"/>
  <c r="AJ32" i="23"/>
  <c r="AM32" i="23"/>
  <c r="AM38" i="23"/>
  <c r="AK38" i="23"/>
  <c r="AL38" i="23"/>
  <c r="AJ38" i="23"/>
  <c r="AK43" i="23"/>
  <c r="AJ43" i="23"/>
  <c r="AL43" i="23"/>
  <c r="AM43" i="23"/>
  <c r="AM44" i="23"/>
  <c r="AK44" i="23"/>
  <c r="AJ44" i="23"/>
  <c r="AL44" i="23"/>
  <c r="AP45" i="44"/>
  <c r="AO45" i="44"/>
  <c r="AM45" i="44"/>
  <c r="AN45" i="44" s="1"/>
  <c r="AM55" i="44"/>
  <c r="AN55" i="44" s="1"/>
  <c r="AO55" i="44"/>
  <c r="AP55" i="44"/>
  <c r="AK18" i="23"/>
  <c r="AJ18" i="23"/>
  <c r="AM18" i="23"/>
  <c r="AL18" i="23"/>
  <c r="AM42" i="23"/>
  <c r="AJ42" i="23"/>
  <c r="AK42" i="23"/>
  <c r="AL42" i="23"/>
  <c r="AL31" i="23"/>
  <c r="AJ31" i="23"/>
  <c r="AK31" i="23"/>
  <c r="AM31" i="23"/>
  <c r="AL26" i="23"/>
  <c r="AK26" i="23"/>
  <c r="AJ26" i="23"/>
  <c r="AM26" i="23"/>
  <c r="AP49" i="44"/>
  <c r="AM49" i="44"/>
  <c r="AN49" i="44" s="1"/>
  <c r="AO49" i="44"/>
  <c r="AO42" i="44"/>
  <c r="AM42" i="44"/>
  <c r="AN42" i="44" s="1"/>
  <c r="AP42" i="44"/>
  <c r="AJ37" i="23"/>
  <c r="AM37" i="23"/>
  <c r="AK37" i="23"/>
  <c r="AL37" i="23"/>
  <c r="AL53" i="23"/>
  <c r="AK53" i="23"/>
  <c r="AJ53" i="23"/>
  <c r="AM53" i="23"/>
  <c r="AJ39" i="23"/>
  <c r="AK39" i="23"/>
  <c r="AL39" i="23"/>
  <c r="AM39" i="23"/>
  <c r="AP53" i="44"/>
  <c r="AO53" i="44"/>
  <c r="AM53" i="44"/>
  <c r="AN53" i="44" s="1"/>
  <c r="AJ30" i="23"/>
  <c r="AM30" i="23"/>
  <c r="AK30" i="23"/>
  <c r="AL30" i="23"/>
  <c r="AP43" i="44"/>
  <c r="AO43" i="44"/>
  <c r="AM43" i="44"/>
  <c r="AN43" i="44" s="1"/>
  <c r="AL24" i="23"/>
  <c r="AM24" i="23"/>
  <c r="AK24" i="23"/>
  <c r="AJ24" i="23"/>
  <c r="AM56" i="44"/>
  <c r="AN56" i="44" s="1"/>
  <c r="AP56" i="44"/>
  <c r="AO56" i="44"/>
  <c r="AM50" i="23"/>
  <c r="AL50" i="23"/>
  <c r="AK50" i="23"/>
  <c r="AJ50" i="23"/>
  <c r="AK28" i="23"/>
  <c r="AL28" i="23"/>
  <c r="AJ28" i="23"/>
  <c r="AM28" i="23"/>
  <c r="AJ19" i="23"/>
  <c r="AK19" i="23" s="1"/>
  <c r="AL19" i="23" s="1"/>
  <c r="AM19" i="23" s="1"/>
  <c r="AJ20" i="23"/>
  <c r="AK20" i="23" s="1"/>
  <c r="AL20" i="23" s="1"/>
  <c r="AM20" i="23" s="1"/>
  <c r="AJ15" i="23"/>
  <c r="AK15" i="23" s="1"/>
  <c r="AL15" i="23" s="1"/>
  <c r="AM15" i="23" s="1"/>
  <c r="AJ17" i="23"/>
  <c r="AK17" i="23" s="1"/>
  <c r="AL17" i="23" s="1"/>
  <c r="AM17" i="23" s="1"/>
  <c r="AJ14" i="23"/>
  <c r="AK14" i="23" s="1"/>
  <c r="AL14" i="23" s="1"/>
  <c r="AM14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Esteban Sanchez</author>
  </authors>
  <commentList>
    <comment ref="B230" authorId="0" shapeId="0" xr:uid="{EF180562-405A-43A1-AA1C-FB7A21DBE7DF}">
      <text>
        <r>
          <rPr>
            <b/>
            <sz val="9"/>
            <color indexed="81"/>
            <rFont val="Tahoma"/>
            <family val="2"/>
          </rPr>
          <t>…+.1 U$ handling entrada + 0.1 U$ handling salida + 0.3
 U$ admin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<sst xmlns="http://schemas.openxmlformats.org/spreadsheetml/2006/main" count="3908" uniqueCount="1240">
  <si>
    <t>VOL FULL INBOUND</t>
  </si>
  <si>
    <t>VOL FULL TRANSFER</t>
  </si>
  <si>
    <t>VOL WP</t>
  </si>
  <si>
    <t>INBOUND(U$)</t>
  </si>
  <si>
    <t>TNT</t>
  </si>
  <si>
    <t>GLI</t>
  </si>
  <si>
    <t>TNT + GLT</t>
  </si>
  <si>
    <t>BIC</t>
  </si>
  <si>
    <t>FOB FACILITY FINAL PRICE</t>
  </si>
  <si>
    <t>MARGIN</t>
  </si>
  <si>
    <t>NAME:</t>
  </si>
  <si>
    <t>STEM COUNT</t>
  </si>
  <si>
    <t>INBOUND - BOX TYPE</t>
  </si>
  <si>
    <t>BOX SIZE</t>
  </si>
  <si>
    <t>CUFT PER CASE</t>
  </si>
  <si>
    <t>BOXES PER PALLET</t>
  </si>
  <si>
    <t xml:space="preserve">HOLIDAY : </t>
  </si>
  <si>
    <t>EVERYDAY</t>
  </si>
  <si>
    <t xml:space="preserve">QUARTER </t>
  </si>
  <si>
    <t>TOTAL COST FOB FACILITY</t>
  </si>
  <si>
    <t>CUSTOMER</t>
  </si>
  <si>
    <t xml:space="preserve"> NEW CUSTOMER</t>
  </si>
  <si>
    <t>SUG PACK (DRY)</t>
  </si>
  <si>
    <t>PACK DRY</t>
  </si>
  <si>
    <t>PACK FB</t>
  </si>
  <si>
    <t>ORIGEN:</t>
  </si>
  <si>
    <t>COLOMBIA</t>
  </si>
  <si>
    <t>WASTE %</t>
  </si>
  <si>
    <t>Type</t>
  </si>
  <si>
    <t>BOUQUET</t>
  </si>
  <si>
    <t>CREDITS %</t>
  </si>
  <si>
    <t>FEES</t>
  </si>
  <si>
    <t>FLOWER COST FOB  COL</t>
  </si>
  <si>
    <t>INBOUND USA FREIGHT COST</t>
  </si>
  <si>
    <t>WAREHOUSE</t>
  </si>
  <si>
    <t>LOCATION</t>
  </si>
  <si>
    <t>$ / CUBE</t>
  </si>
  <si>
    <t>$ / CASE</t>
  </si>
  <si>
    <t>$ / BUNCH</t>
  </si>
  <si>
    <t>DELIVERED COST</t>
  </si>
  <si>
    <t>STEMS</t>
  </si>
  <si>
    <t>FLOWER</t>
  </si>
  <si>
    <t>TINT</t>
  </si>
  <si>
    <t>COLOR</t>
  </si>
  <si>
    <t>GLITTER</t>
  </si>
  <si>
    <t>COMMENTS</t>
  </si>
  <si>
    <t>GRADE</t>
  </si>
  <si>
    <t>COST</t>
  </si>
  <si>
    <t>TOTAL</t>
  </si>
  <si>
    <t>GLIT</t>
  </si>
  <si>
    <t>VLOOKUP</t>
  </si>
  <si>
    <t>USA COST</t>
  </si>
  <si>
    <t>MIAMI</t>
  </si>
  <si>
    <t>MIA</t>
  </si>
  <si>
    <t>%</t>
  </si>
  <si>
    <t>ALSTROEMERIA Fancy</t>
  </si>
  <si>
    <t>FLOWER COST FOB MIA</t>
  </si>
  <si>
    <t>TRANSFER COST</t>
  </si>
  <si>
    <t>Roses Color Roses 40</t>
  </si>
  <si>
    <t>HAND LABOR</t>
  </si>
  <si>
    <t>DRY MATERIAL COST PER BUNCH</t>
  </si>
  <si>
    <t>Y/N</t>
  </si>
  <si>
    <t>SUB TOTAL</t>
  </si>
  <si>
    <t>Clear Sleeve</t>
  </si>
  <si>
    <t>N</t>
  </si>
  <si>
    <t>Clear Sleeve Large</t>
  </si>
  <si>
    <t>NEW JERSEY</t>
  </si>
  <si>
    <t>NJ</t>
  </si>
  <si>
    <t>Food</t>
  </si>
  <si>
    <t>Y</t>
  </si>
  <si>
    <t>UPC</t>
  </si>
  <si>
    <t>Arrangement Bag</t>
  </si>
  <si>
    <t>Pick</t>
  </si>
  <si>
    <t>n</t>
  </si>
  <si>
    <t>Scent</t>
  </si>
  <si>
    <t>CALIFORNIA</t>
  </si>
  <si>
    <t>LAX</t>
  </si>
  <si>
    <t>Wrap / Sleeve</t>
  </si>
  <si>
    <t>Card</t>
  </si>
  <si>
    <t>Vase / Bowl / Recipient</t>
  </si>
  <si>
    <t>Foam</t>
  </si>
  <si>
    <t>Bag</t>
  </si>
  <si>
    <t>CHICAGO</t>
  </si>
  <si>
    <t>CH</t>
  </si>
  <si>
    <t>Other 1</t>
  </si>
  <si>
    <t>Other 2</t>
  </si>
  <si>
    <t>TOTAL DRY GOODS</t>
  </si>
  <si>
    <t>TOTAL MIAMI LANDED COST</t>
  </si>
  <si>
    <t>SEATTLE</t>
  </si>
  <si>
    <t>WA</t>
  </si>
  <si>
    <t>TRANSFER DRY TO FACILITY COST</t>
  </si>
  <si>
    <t>Per Stem Cost (Bouquet Only)</t>
  </si>
  <si>
    <t>TOTAL WAREHOUSE LANDED</t>
  </si>
  <si>
    <t>TEXAS</t>
  </si>
  <si>
    <t>TX</t>
  </si>
  <si>
    <t>Is it a Wet Pack ?</t>
  </si>
  <si>
    <t>DIMENTIONS</t>
  </si>
  <si>
    <t>WP - REG</t>
  </si>
  <si>
    <t>CUFT</t>
  </si>
  <si>
    <t>WET K</t>
  </si>
  <si>
    <t>CASES/PALLET</t>
  </si>
  <si>
    <t>SUG PACK (WET)</t>
  </si>
  <si>
    <t>PACK WET</t>
  </si>
  <si>
    <t>VALENTINE'S DAY</t>
  </si>
  <si>
    <t>EASTER</t>
  </si>
  <si>
    <t>MOTHER'S DAY</t>
  </si>
  <si>
    <t>WP COST PER BUNCH</t>
  </si>
  <si>
    <t>FALL COLORS</t>
  </si>
  <si>
    <t>Wet Material</t>
  </si>
  <si>
    <t>XMAS COLORS</t>
  </si>
  <si>
    <t>Labor</t>
  </si>
  <si>
    <t>TOTAL WP PROCESS</t>
  </si>
  <si>
    <t>LINK</t>
  </si>
  <si>
    <t>Customer</t>
  </si>
  <si>
    <t>Warehouse</t>
  </si>
  <si>
    <t>Store</t>
  </si>
  <si>
    <t>DEL COST / CUBE</t>
  </si>
  <si>
    <t>365 BY WHOLE FOODS</t>
  </si>
  <si>
    <t>365 BY WHOLE FOODS CEDAR PARK</t>
  </si>
  <si>
    <t>TO BE DEFINE</t>
  </si>
  <si>
    <t>NEW CUSTOMER</t>
  </si>
  <si>
    <t>NEW CUSTOMER MIAMI</t>
  </si>
  <si>
    <t>NEW CUSTOMER NEW JERSEY</t>
  </si>
  <si>
    <t>NEW CUSTOMER CALIFORNIA</t>
  </si>
  <si>
    <t>NEW CUSTOMER CHICAGO</t>
  </si>
  <si>
    <t>WASHINGTON</t>
  </si>
  <si>
    <t>NEW CUSTOMER WASHINGTON</t>
  </si>
  <si>
    <t>OPEN DESIGN</t>
  </si>
  <si>
    <t>OPEN DESIGN MIAMI</t>
  </si>
  <si>
    <t>OPEN DESIGN NEW JERSEY</t>
  </si>
  <si>
    <t>OPEN DESIGN CALIFORNIA</t>
  </si>
  <si>
    <t>OPEN DESIGN CHICAGO</t>
  </si>
  <si>
    <t>OPEN DESIGN WASHINGTON</t>
  </si>
  <si>
    <t>ABTFW ASSOCIATED WHOLESALE GROCERS</t>
  </si>
  <si>
    <t>AHOLD</t>
  </si>
  <si>
    <t>AHOLD OFFICE ACCOUNT</t>
  </si>
  <si>
    <t>GIANT OF CARLISLE</t>
  </si>
  <si>
    <t>STOP &amp; SHOP FREETOWN - FC#54</t>
  </si>
  <si>
    <t>C &amp; S CHESTER</t>
  </si>
  <si>
    <t>PPO OFFICE</t>
  </si>
  <si>
    <t>ALBERTSON'S IRVINE</t>
  </si>
  <si>
    <t>ALBERTSONS IRVINE</t>
  </si>
  <si>
    <t>ALBERTSON'S JEWEL</t>
  </si>
  <si>
    <t>SUPERVALU  JEWEL</t>
  </si>
  <si>
    <t>ALBERTSON'S LANCASTER</t>
  </si>
  <si>
    <t>SUPERVALU LANCASTER</t>
  </si>
  <si>
    <t>SVU LANCASTER, ACME/ALB</t>
  </si>
  <si>
    <t>ALBERTSON'S NEWELL &amp; CO</t>
  </si>
  <si>
    <t>SUPERVALU W. NEWELL &amp; CO.</t>
  </si>
  <si>
    <t>ALBERTSON'S PHOENIX</t>
  </si>
  <si>
    <t>ALBERTSON PHOENIX</t>
  </si>
  <si>
    <t>ALBERTSON'S PORTLAND</t>
  </si>
  <si>
    <t>ALBERTSON´S  PORTLAND</t>
  </si>
  <si>
    <t>SUPERVALU  PORTLAND</t>
  </si>
  <si>
    <t>ALBERTSON'S SALT LAKE CITY</t>
  </si>
  <si>
    <t>ALBERTSON´S  SALT LAKE CITY</t>
  </si>
  <si>
    <t>ALBERTSON'S SHAWS</t>
  </si>
  <si>
    <t>SHAWS SUPERMARKETS INC</t>
  </si>
  <si>
    <t>SHAWS/STAR - ABS</t>
  </si>
  <si>
    <t>ASSOCIATED WHOLESALE GROCERS INC</t>
  </si>
  <si>
    <t>ASSOCIATED SPRINGFIELD</t>
  </si>
  <si>
    <t>BILO</t>
  </si>
  <si>
    <t>BILO / C&amp;S MAULDIN</t>
  </si>
  <si>
    <t>BOZZUTO´S IGA INC</t>
  </si>
  <si>
    <t>BOZZUTOS IGA INC</t>
  </si>
  <si>
    <t>KING KULLEN</t>
  </si>
  <si>
    <t>BRISTOL FARMS</t>
  </si>
  <si>
    <t>DBA WESTERN BEEF PRODUCE</t>
  </si>
  <si>
    <t>DBA WESTERN BEEF PRODUCE-INV</t>
  </si>
  <si>
    <t>DSD BRUCKNER BLVD # 062</t>
  </si>
  <si>
    <t>DSD WB MORRIS AVE BRONX # 010</t>
  </si>
  <si>
    <t>FOOD NATION</t>
  </si>
  <si>
    <t>EARTH FARE INC</t>
  </si>
  <si>
    <t>EARTH FARE</t>
  </si>
  <si>
    <t>EFS FRESH DIRECT, LLC</t>
  </si>
  <si>
    <t>FRESH DIRECT , LLC</t>
  </si>
  <si>
    <t>EFS INDIANA GROCERY GROUP, LLC</t>
  </si>
  <si>
    <t>8746 ULTRA PROSPECT HEIGHTS</t>
  </si>
  <si>
    <t>WALMART</t>
  </si>
  <si>
    <t>WAL-MART DC #6084 LOS LUNAS, NM</t>
  </si>
  <si>
    <t>WAL-MART DC #6090 CORINNE, UT</t>
  </si>
  <si>
    <t>WAL-MART DC #7013 CASA GRANDE, AZ</t>
  </si>
  <si>
    <t>WAL-MART DC #7018 NORTH PLATTE, NE</t>
  </si>
  <si>
    <t>WAL-MART DC #7021 GRANDVIEW, WA</t>
  </si>
  <si>
    <t>WAL-MART DC #7048 SPARKS, NV</t>
  </si>
  <si>
    <t>WAL-MART DC #7077 CHEYENNE, WY</t>
  </si>
  <si>
    <t>WAL-MART DC #7084 RIVERSIDE, CA</t>
  </si>
  <si>
    <t>WAL-MART DC #7095 COLTON, CA</t>
  </si>
  <si>
    <t>WAL-MART DC #6042 PAULS VALLEY, OK</t>
  </si>
  <si>
    <t>WAL-MART DC #6047 BEDFORD, PA</t>
  </si>
  <si>
    <t>WAL-MART DC #6055 MONROE, GA</t>
  </si>
  <si>
    <t>WAL-MART DC #6056 TERRELL, TX</t>
  </si>
  <si>
    <t>WAL-MART DC #6057 HAMMOND, LA</t>
  </si>
  <si>
    <t>WAL-MART DC #6059 OLNEY, IL</t>
  </si>
  <si>
    <t>WAL-MART DC #6062 SHELBYVILLE, TN</t>
  </si>
  <si>
    <t>WAL-MART DC #6064 CLEBURNE, TX</t>
  </si>
  <si>
    <t>WAL-MART DC #6065 HARRISONVILLE, MO</t>
  </si>
  <si>
    <t>WAL-MART DC #6071 WINTER HAVEN, FL</t>
  </si>
  <si>
    <t>WAL-MART DC #6072 NEW ALBANY, MS</t>
  </si>
  <si>
    <t>WAL-MART DC #6073 PAGELAND, SC</t>
  </si>
  <si>
    <t>WAL-MART DC #6074 GARRETT, IN</t>
  </si>
  <si>
    <t>WAL-MART DC #6077 MOBERLY, MO</t>
  </si>
  <si>
    <t>WAL-MART DC #6082 CLARKSVILLE, AR</t>
  </si>
  <si>
    <t>WAL-MART DC #6083 TEMPLE, TX</t>
  </si>
  <si>
    <t>WAL-MART DC #6085 TOMAH, WI</t>
  </si>
  <si>
    <t>WAL-MART DC #6091 HENDERSON, NC</t>
  </si>
  <si>
    <t>WAL-MART DC #6095 OPELIKA, AL</t>
  </si>
  <si>
    <t>WAL-MART DC #6096 JOHNSTOWN, NY</t>
  </si>
  <si>
    <t>WAL-MART DC #6097 LONDON, KY</t>
  </si>
  <si>
    <t>WAL-MART DC #6099 MACCLENNY, FL</t>
  </si>
  <si>
    <t>WAL-MART DC #7010 NEW CANEY, TX</t>
  </si>
  <si>
    <t>WAL-MART DC #7012 WASHINGTON COURTHOUSE, OH</t>
  </si>
  <si>
    <t>WAL-MART DC #7014 LEWINSTON, ME</t>
  </si>
  <si>
    <t>WAL-MART DC #7015 OCHELATA, OK</t>
  </si>
  <si>
    <t>WAL-MART DC #7016 GORDONSVILLE, VA</t>
  </si>
  <si>
    <t>WAL-MART DC #7017 WINTERSVILLE, OH</t>
  </si>
  <si>
    <t>WAL-MART DC #7019 BRUNDIDGE, AL</t>
  </si>
  <si>
    <t>WAL-MART DC #7023 ARCADIA, FL</t>
  </si>
  <si>
    <t>WAL-MART DC #7024 STERLING, IL</t>
  </si>
  <si>
    <t>WAL-MART DC #7030 POTTSVILLE, PA</t>
  </si>
  <si>
    <t>WAL-MART DC #7055 GAS CITY, IN</t>
  </si>
  <si>
    <t>WAL-MART DC #7079, MANKATO, MN GDC</t>
  </si>
  <si>
    <t>SAFEWAY</t>
  </si>
  <si>
    <t>SAFEWAY NORCAL TRACY</t>
  </si>
  <si>
    <t>SAFEWAY PORTLAND</t>
  </si>
  <si>
    <t>SAFEWAY VONS</t>
  </si>
  <si>
    <t>SAFEWAY AUBURN FLORAL</t>
  </si>
  <si>
    <t>SAFEWAY COLLINGTON FLORAL</t>
  </si>
  <si>
    <t>SAFEWAY DENVER</t>
  </si>
  <si>
    <t>SAFEWAY PHOENIX WAREHOUSE</t>
  </si>
  <si>
    <t>SAFEWAY RANDALLS  HOUSTON</t>
  </si>
  <si>
    <t>SAFEWAY RANDALLS DALLAS</t>
  </si>
  <si>
    <t>SAFEWAY SALT LAKE</t>
  </si>
  <si>
    <t>SAFEWAY SPOKANE FLORAL</t>
  </si>
  <si>
    <t>FARM FRESH -SUPERVALU CENTRAL FLORAL WHOLESALE</t>
  </si>
  <si>
    <t>SUPERVALU CENTRAL FLORAL WHOLESALE</t>
  </si>
  <si>
    <t>GIANT EAGLE</t>
  </si>
  <si>
    <t>CLEVELAND PERISHABLE FACILITY</t>
  </si>
  <si>
    <t>CRAFTON PERISHABLE FACILITY</t>
  </si>
  <si>
    <t>H.E.BUTT GROCERY COMPANY</t>
  </si>
  <si>
    <t>H.E.B. FLORAL WAREHOUSE</t>
  </si>
  <si>
    <t>HARRIS TEETER</t>
  </si>
  <si>
    <t>PUBLIX</t>
  </si>
  <si>
    <t>ORLANDO</t>
  </si>
  <si>
    <t>JACKSONVILLE</t>
  </si>
  <si>
    <t>ATLANTA</t>
  </si>
  <si>
    <t>LAKELAND</t>
  </si>
  <si>
    <t>KEY FLORAL</t>
  </si>
  <si>
    <t>LEGACY FLOWERS S</t>
  </si>
  <si>
    <t>SUNBURST</t>
  </si>
  <si>
    <t>MATRANAS PRODUCE</t>
  </si>
  <si>
    <t>IGA MARKETS</t>
  </si>
  <si>
    <t>ROUSES SUPERMARKET/MATRANAS PRODUCE</t>
  </si>
  <si>
    <t>PROCACCI BROTHERS INC.</t>
  </si>
  <si>
    <t>PROCACCI BROTHERS</t>
  </si>
  <si>
    <t>RALEY'S SUPERMARKETS</t>
  </si>
  <si>
    <t>RALEY'S DISTRIBUTION CENTER</t>
  </si>
  <si>
    <t>SOLOMON'S FRESH MARKET - BAHAMA'S</t>
  </si>
  <si>
    <t>SOLOMON'S FRESH MARKET -HARBOR BAY NASSAU BAHAMAS</t>
  </si>
  <si>
    <t>SOLOMON'S LUCAYA, FREEPORT # 103</t>
  </si>
  <si>
    <t>SOLOMON'S SUPER CENTER NASSAU #101</t>
  </si>
  <si>
    <t>SPARTAN STORES INC.</t>
  </si>
  <si>
    <t>SPARTAN  STORES INC.</t>
  </si>
  <si>
    <t>SPROUTS FARMERS MARKET</t>
  </si>
  <si>
    <t>ARIZONA</t>
  </si>
  <si>
    <t>STRUBE CELERY AND VEGETABLE COMPANY</t>
  </si>
  <si>
    <t>STRUBE/BUTERA</t>
  </si>
  <si>
    <t>STRUBE/CAPUTO</t>
  </si>
  <si>
    <t>STRUBE/CAPUTO BLOOM</t>
  </si>
  <si>
    <t>STRUBE/CAPUTO HP</t>
  </si>
  <si>
    <t>STRUBE/CAPUTO NAPERVILLE</t>
  </si>
  <si>
    <t>STRUBE/PETE´S FRESH MARKET</t>
  </si>
  <si>
    <t>STRUBE/VALLI PRODUCE</t>
  </si>
  <si>
    <t>SUPERVALU</t>
  </si>
  <si>
    <t>SUPERVALU MECHANICSVILLE</t>
  </si>
  <si>
    <t>SUPERVALU NEW STANTON</t>
  </si>
  <si>
    <t>SUPERVALU SAVE A LOT</t>
  </si>
  <si>
    <t>EDGERTON DC - SAVE A LOT</t>
  </si>
  <si>
    <t>MUNCIE DC - SAVE A LOT</t>
  </si>
  <si>
    <t>ST. JOHNS DC - SAVE A LOT</t>
  </si>
  <si>
    <t>FORT WORTH DC - SAVE A LOT</t>
  </si>
  <si>
    <t>HAMMOND DC - SAVE A LOT</t>
  </si>
  <si>
    <t>HENDERSON CO - SAVE A LOT</t>
  </si>
  <si>
    <t>HUMBOLDT DC - SAVE A LOT</t>
  </si>
  <si>
    <t>LEXINGTON DC - SAVE A LOT</t>
  </si>
  <si>
    <t>MACON DC - SAVE A LOT</t>
  </si>
  <si>
    <t>PLANT CITY DC - SAVE A LOT</t>
  </si>
  <si>
    <t>POMPANO BEACH DC - SAVE A LOT</t>
  </si>
  <si>
    <t>WARRENTON MO -  SAVE A LOT</t>
  </si>
  <si>
    <t>WINCHESTER DC - SAVE A LOT</t>
  </si>
  <si>
    <t>AUSTINBURG DC - SAVE A LOT</t>
  </si>
  <si>
    <t>COXSACKIE DC - SAVE A LOT</t>
  </si>
  <si>
    <t>WILLIAMSPORT DC - SAVE A LOT</t>
  </si>
  <si>
    <t>THE FRESH MARKET</t>
  </si>
  <si>
    <t>THE FRESH MARKET ATLANTA</t>
  </si>
  <si>
    <t>THE FRESH MARKET TFM NEW CASTLE</t>
  </si>
  <si>
    <t>TOPCO ASSOCIATES LLC</t>
  </si>
  <si>
    <t>"FRESH" BY BROOKSHIRE'S</t>
  </si>
  <si>
    <t>ASSOCIATED GROCERS OF BATON ROUGE</t>
  </si>
  <si>
    <t>BIG Y FOODS</t>
  </si>
  <si>
    <t>BROOKSHIRE GROCERY COMPANY</t>
  </si>
  <si>
    <t>C&amp;S DUBOIS PA RIVERSIDE</t>
  </si>
  <si>
    <t>CHARLIE'S PRODUCE</t>
  </si>
  <si>
    <t>FLORIST DISTRIBUTING INC. COLUMBIA</t>
  </si>
  <si>
    <t>FLORIST DISTRIBUTING INC. DAVENPORT</t>
  </si>
  <si>
    <t>FLORIST DISTRIBUTING INC. DES MOINES</t>
  </si>
  <si>
    <t>FLORIST DISTRIBUTING INC. INDEPENDENCE</t>
  </si>
  <si>
    <t>FLORIST DISTRIBUTING INC. OMAHA</t>
  </si>
  <si>
    <t>FLORIST DISTRIBUTING, INC - DAVENPORT</t>
  </si>
  <si>
    <t>FLORIST DISTRIBUTING, INC - OMAHA</t>
  </si>
  <si>
    <t>FLORIST DISTRIBUTING, INC DES MOINES</t>
  </si>
  <si>
    <t>FLORIST DISTRIBUTING, INC-COLUMBIA</t>
  </si>
  <si>
    <t>FLORIST DISTRIBUTING, INC-INDEPENDENCE</t>
  </si>
  <si>
    <t>FRED W. ALBRECHT GROCERY COMPANY</t>
  </si>
  <si>
    <t>HAGGEN - CHARLIE'S PRODUCE</t>
  </si>
  <si>
    <t>K-VA-T</t>
  </si>
  <si>
    <t>PIGGLY WIGGLY OF THE MIDWEST LLC</t>
  </si>
  <si>
    <t>TRADER JOE´S</t>
  </si>
  <si>
    <t>FONTANA</t>
  </si>
  <si>
    <t>CROSS DOCK WAREHOUSE ARIZONA</t>
  </si>
  <si>
    <t>LACEY XDOCK</t>
  </si>
  <si>
    <t>STOCKTON CROSS DOCK</t>
  </si>
  <si>
    <t>WCD MINOOKA</t>
  </si>
  <si>
    <t>IRVING TEXAS</t>
  </si>
  <si>
    <t>DAYTONA</t>
  </si>
  <si>
    <t>NAZARETH CROSS DOCK</t>
  </si>
  <si>
    <t>MASSACHUSETTS</t>
  </si>
  <si>
    <t>UNITED SALAD CO.</t>
  </si>
  <si>
    <t>UNITED SUPERMARKETS LTD</t>
  </si>
  <si>
    <t>UNITED SUPERMARKETS DC</t>
  </si>
  <si>
    <t>WAKEFERN FOOD CORPORATION</t>
  </si>
  <si>
    <t>WEIS MARKET INC.</t>
  </si>
  <si>
    <t>WHOLE FOODS MARKET</t>
  </si>
  <si>
    <t>RICHMOND</t>
  </si>
  <si>
    <t>VERNON</t>
  </si>
  <si>
    <t>MUNSTER</t>
  </si>
  <si>
    <t>AURORA</t>
  </si>
  <si>
    <t>FLORIDA</t>
  </si>
  <si>
    <t>BRASELTON</t>
  </si>
  <si>
    <t>AUSTIN</t>
  </si>
  <si>
    <t>CHESHIRE</t>
  </si>
  <si>
    <t>LANDOVER</t>
  </si>
  <si>
    <t>WINN DIXIE</t>
  </si>
  <si>
    <t>WINN DIXIE PLANT CITY</t>
  </si>
  <si>
    <t>WINN DIXIE JACKSONVILLE</t>
  </si>
  <si>
    <t>WINN DIXIE MIAMI</t>
  </si>
  <si>
    <t>WINN DIXIE MONTGOMERY</t>
  </si>
  <si>
    <t>WINN DIXIE NEW ORLEANS</t>
  </si>
  <si>
    <t>GROCERY OUTLET</t>
  </si>
  <si>
    <t>GROCERY OUTLET OAKLAND</t>
  </si>
  <si>
    <t>PRETTY BQT</t>
  </si>
  <si>
    <t>SUGGESTED PACK (WP)</t>
  </si>
  <si>
    <t>PACK (WP)</t>
  </si>
  <si>
    <t>TNT + GLI</t>
  </si>
  <si>
    <t>ORIG</t>
  </si>
  <si>
    <t>ORIGEN</t>
  </si>
  <si>
    <t>ROSES</t>
  </si>
  <si>
    <t>RED</t>
  </si>
  <si>
    <t>LIGHT PINK</t>
  </si>
  <si>
    <t>FLOWER COST LOCAL</t>
  </si>
  <si>
    <t>DELIVERY COST</t>
  </si>
  <si>
    <t>INBOUND FREIGHT COST</t>
  </si>
  <si>
    <t>TRANSFER FACILITY COST</t>
  </si>
  <si>
    <t>LABOR COST</t>
  </si>
  <si>
    <t>FLOWER FOB FACILITY COST</t>
  </si>
  <si>
    <t>DRY MATERIAL</t>
  </si>
  <si>
    <t>CLEAR SLEEVE</t>
  </si>
  <si>
    <t>CLEAR SLEEVE LARGE</t>
  </si>
  <si>
    <t>FOOD</t>
  </si>
  <si>
    <t>PICK</t>
  </si>
  <si>
    <t>SCENT</t>
  </si>
  <si>
    <t>WRAP / SLEEVE</t>
  </si>
  <si>
    <t>CARD</t>
  </si>
  <si>
    <t>OTHER 1</t>
  </si>
  <si>
    <t>OTHER 2</t>
  </si>
  <si>
    <t>WP BOX TYPE</t>
  </si>
  <si>
    <t>WET WALMART DOUBLE</t>
  </si>
  <si>
    <r>
      <t>WET PACK COST</t>
    </r>
    <r>
      <rPr>
        <b/>
        <sz val="8"/>
        <rFont val="Calibri"/>
        <family val="2"/>
        <scheme val="minor"/>
      </rPr>
      <t xml:space="preserve"> (Bucket,Water, Linner, Tape, Label..ETC)</t>
    </r>
  </si>
  <si>
    <t>BOX PER PALLET</t>
  </si>
  <si>
    <t xml:space="preserve"> BOUQUET PROPOSAL</t>
  </si>
  <si>
    <t>Vendor Name:*</t>
  </si>
  <si>
    <t>ELITE FLOWER</t>
  </si>
  <si>
    <t>Contact Name:*</t>
  </si>
  <si>
    <t>NOMBRE PRODUCTO FINAL</t>
  </si>
  <si>
    <t>Phone:*</t>
  </si>
  <si>
    <t>Item #</t>
  </si>
  <si>
    <t>FOB Wahrehouse Cost*</t>
  </si>
  <si>
    <t>CLASS</t>
  </si>
  <si>
    <t>TYPE</t>
  </si>
  <si>
    <t>RETAIL</t>
  </si>
  <si>
    <t>CIC</t>
  </si>
  <si>
    <t>Box Dimensions</t>
  </si>
  <si>
    <t>MIX BQT</t>
  </si>
  <si>
    <t>UPC Code*</t>
  </si>
  <si>
    <t>BOX TYPE OF FINISH PRODUCT</t>
  </si>
  <si>
    <t>PHOTO</t>
  </si>
  <si>
    <t>PRODUCT</t>
  </si>
  <si>
    <t>COMMENTS / SUBS</t>
  </si>
  <si>
    <t>TOT STEMS</t>
  </si>
  <si>
    <t>Sleeve Information:</t>
  </si>
  <si>
    <t>Description</t>
  </si>
  <si>
    <t xml:space="preserve">Vendor </t>
  </si>
  <si>
    <t>Size</t>
  </si>
  <si>
    <t>Sleeve Photo</t>
  </si>
  <si>
    <t>Pick Photo</t>
  </si>
  <si>
    <t>Specs / Color / etc</t>
  </si>
  <si>
    <t>QTY</t>
  </si>
  <si>
    <t>vendor (if available)</t>
  </si>
  <si>
    <t>TOTAL STEMS</t>
  </si>
  <si>
    <t xml:space="preserve">ROLAND </t>
  </si>
  <si>
    <t>305-436-7400</t>
  </si>
  <si>
    <t>USA HAND MADE BQT</t>
  </si>
  <si>
    <t>ACCEPTABLE SUBS</t>
  </si>
  <si>
    <t>ALSTROEMERIA Premium</t>
  </si>
  <si>
    <t>ALSTROEMERIA Select</t>
  </si>
  <si>
    <t>AMMI MAJUS</t>
  </si>
  <si>
    <t>CB</t>
  </si>
  <si>
    <t>ARALIA</t>
  </si>
  <si>
    <t>ASPIDISTRA</t>
  </si>
  <si>
    <t>ASTER</t>
  </si>
  <si>
    <t>ASTRANTIAS</t>
  </si>
  <si>
    <t>BONBON_DISBUD</t>
  </si>
  <si>
    <t>BRASSICAS</t>
  </si>
  <si>
    <t>BUTTON</t>
  </si>
  <si>
    <t>CALLAS</t>
  </si>
  <si>
    <t>CAMPANULLA</t>
  </si>
  <si>
    <t>CARNATION</t>
  </si>
  <si>
    <t>CARTHAMUS</t>
  </si>
  <si>
    <t>COCCULOS</t>
  </si>
  <si>
    <t>CORDYLINE</t>
  </si>
  <si>
    <t>CRASPEDIA</t>
  </si>
  <si>
    <t>CRASSULA</t>
  </si>
  <si>
    <t>CREMON</t>
  </si>
  <si>
    <t>CUPRESSUS</t>
  </si>
  <si>
    <t>SUM($C15/VLOOKUP(D15,PACK!A:B,2,FALSE))</t>
  </si>
  <si>
    <t>CUSHION</t>
  </si>
  <si>
    <t>DAISY</t>
  </si>
  <si>
    <t>DELPHINIUM</t>
  </si>
  <si>
    <t>DIANTHUS</t>
  </si>
  <si>
    <t>DIANTHUS - GREEN BALL</t>
  </si>
  <si>
    <t>DIANTHUS - SOLOMIO</t>
  </si>
  <si>
    <t>ERYNGIUM</t>
  </si>
  <si>
    <t>EUCALIPTUS</t>
  </si>
  <si>
    <t>EUCALIPTUS SEEDED</t>
  </si>
  <si>
    <t>EUCALIPTUS SILVER DOLLAR</t>
  </si>
  <si>
    <t>GARDEN ROSES</t>
  </si>
  <si>
    <t>GERBERA</t>
  </si>
  <si>
    <t>GYPSOPHILA</t>
  </si>
  <si>
    <t>HYDRANGEA</t>
  </si>
  <si>
    <t>HYDRANGEA Antique</t>
  </si>
  <si>
    <t>HYPERYCUM</t>
  </si>
  <si>
    <t>LEATHER LEAF</t>
  </si>
  <si>
    <t>LEPIDIUM</t>
  </si>
  <si>
    <t>LEUCADENDRON</t>
  </si>
  <si>
    <t>LILLY GRASS(x3)</t>
  </si>
  <si>
    <t>LILLY-ASIATIC</t>
  </si>
  <si>
    <t>LILLY-ORIENTAL</t>
  </si>
  <si>
    <t>LILLY-RoseLilly</t>
  </si>
  <si>
    <t>LIMONIUM</t>
  </si>
  <si>
    <t>MARIGOLD</t>
  </si>
  <si>
    <t>MATRICARIA</t>
  </si>
  <si>
    <t>MATSUMOTO</t>
  </si>
  <si>
    <t xml:space="preserve">MINI CALLAS </t>
  </si>
  <si>
    <t xml:space="preserve">MINICARNATION </t>
  </si>
  <si>
    <t>MINIHYDRANGEA</t>
  </si>
  <si>
    <t>MOLUCELLA</t>
  </si>
  <si>
    <t>MUMS</t>
  </si>
  <si>
    <t>NOVELTY</t>
  </si>
  <si>
    <t>ORNITOGALUM</t>
  </si>
  <si>
    <t>PHOENIX ROEBELENII</t>
  </si>
  <si>
    <t>PHOTINIA</t>
  </si>
  <si>
    <t>PITTOSPORUM</t>
  </si>
  <si>
    <t>POMPON</t>
  </si>
  <si>
    <t>RANUNCULUS</t>
  </si>
  <si>
    <t>RANUNCULUS BUTTERFLY</t>
  </si>
  <si>
    <t>Roses Color Roses 50</t>
  </si>
  <si>
    <t>Roses Color Roses 60</t>
  </si>
  <si>
    <t>Roses Color Roses 70</t>
  </si>
  <si>
    <t>Roses Red Roses 40</t>
  </si>
  <si>
    <t>Roses Red Roses 50</t>
  </si>
  <si>
    <t>Roses Red Roses 60</t>
  </si>
  <si>
    <t>Roses Red Roses 70</t>
  </si>
  <si>
    <t>RUSCUS</t>
  </si>
  <si>
    <t>SANTINI</t>
  </si>
  <si>
    <t>SCABIOSA HYBRIDS</t>
  </si>
  <si>
    <t>SNAP DRAGON</t>
  </si>
  <si>
    <t>SOLIDAGO</t>
  </si>
  <si>
    <t>SPIDER</t>
  </si>
  <si>
    <t>Spray Roses</t>
  </si>
  <si>
    <t>STATICE</t>
  </si>
  <si>
    <t>STOCK_DOUBLE</t>
  </si>
  <si>
    <t>SUNFLOWER</t>
  </si>
  <si>
    <t>TREE FERN</t>
  </si>
  <si>
    <t>VERONICA</t>
  </si>
  <si>
    <t>VIBURNUM</t>
  </si>
  <si>
    <t>Flower</t>
  </si>
  <si>
    <t>hsfdhs</t>
  </si>
  <si>
    <t>MINICARNATION</t>
  </si>
  <si>
    <t>Spray Roses 40</t>
  </si>
  <si>
    <t>Spray Roses 50</t>
  </si>
  <si>
    <t>Spray Roses 60</t>
  </si>
  <si>
    <t>PACK</t>
  </si>
  <si>
    <t>FLOWER LIST</t>
  </si>
  <si>
    <t>FILTER</t>
  </si>
  <si>
    <t>Alstroemeria</t>
  </si>
  <si>
    <t>Alstromelias A</t>
  </si>
  <si>
    <t>ALSTROEMERIA</t>
  </si>
  <si>
    <t>Greens</t>
  </si>
  <si>
    <t>Aralias</t>
  </si>
  <si>
    <t>ARECA</t>
  </si>
  <si>
    <t>Aster</t>
  </si>
  <si>
    <t>Asters</t>
  </si>
  <si>
    <t>BOXWOOD</t>
  </si>
  <si>
    <t>Calla Lily (Std)</t>
  </si>
  <si>
    <t>Callas</t>
  </si>
  <si>
    <t>Minicallas</t>
  </si>
  <si>
    <t>Carnations</t>
  </si>
  <si>
    <t>CEDAR</t>
  </si>
  <si>
    <t>Cocculos</t>
  </si>
  <si>
    <t>Crotos</t>
  </si>
  <si>
    <t>CROTTON</t>
  </si>
  <si>
    <t>CYPRES</t>
  </si>
  <si>
    <t>Eucaliptus</t>
  </si>
  <si>
    <t>Dianthus - Amazon</t>
  </si>
  <si>
    <t>Dianthus - Green Ball</t>
  </si>
  <si>
    <t>Eryngium</t>
  </si>
  <si>
    <t>Eryngiums</t>
  </si>
  <si>
    <t>Tinted Eryngium</t>
  </si>
  <si>
    <t>Tinted &amp; Glittered Eryngium</t>
  </si>
  <si>
    <t>STAR OF BETHELEHEM</t>
  </si>
  <si>
    <t>Estrellas de Belen</t>
  </si>
  <si>
    <t>Garden Roses</t>
  </si>
  <si>
    <t>Rosas Garden</t>
  </si>
  <si>
    <t>Gerbera</t>
  </si>
  <si>
    <t>Gerberas A</t>
  </si>
  <si>
    <t>Gerondo</t>
  </si>
  <si>
    <t>Gerondos</t>
  </si>
  <si>
    <t>GERBERA GERONDO</t>
  </si>
  <si>
    <t>GERBERA PICCOLIN</t>
  </si>
  <si>
    <t>GERBERA SPIDER</t>
  </si>
  <si>
    <t>Greens Upscale</t>
  </si>
  <si>
    <t>Grevilleas</t>
  </si>
  <si>
    <t>GREVILLEAS</t>
  </si>
  <si>
    <t>Gyp</t>
  </si>
  <si>
    <t>Gypsophilias</t>
  </si>
  <si>
    <t>Million Star</t>
  </si>
  <si>
    <t>Hydrangea Select</t>
  </si>
  <si>
    <t xml:space="preserve">Hydrangeas </t>
  </si>
  <si>
    <t>Hydrangeas Jumbo</t>
  </si>
  <si>
    <t>Hypericum</t>
  </si>
  <si>
    <t>Hypericums</t>
  </si>
  <si>
    <t>Kale</t>
  </si>
  <si>
    <t>Kales</t>
  </si>
  <si>
    <t>Leatherleafs</t>
  </si>
  <si>
    <t>Leucadendron</t>
  </si>
  <si>
    <t>Leucadendrons</t>
  </si>
  <si>
    <t>LILLY GRASS</t>
  </si>
  <si>
    <t>LIGUSTRUM</t>
  </si>
  <si>
    <t>Limonium</t>
  </si>
  <si>
    <t>LIRIOS</t>
  </si>
  <si>
    <t>Asiatic Lily</t>
  </si>
  <si>
    <t>Lirios Asiaticos</t>
  </si>
  <si>
    <t>ASIATIC</t>
  </si>
  <si>
    <t>Oriental Lily</t>
  </si>
  <si>
    <t>Lirios Orientales</t>
  </si>
  <si>
    <t>ORIENTAL</t>
  </si>
  <si>
    <t>Matsumoto</t>
  </si>
  <si>
    <t>Matsumotos</t>
  </si>
  <si>
    <t>Micropompones</t>
  </si>
  <si>
    <t>MICRO</t>
  </si>
  <si>
    <t>MICRO DAISY</t>
  </si>
  <si>
    <t>Mums Spray</t>
  </si>
  <si>
    <t>MICRO POMS</t>
  </si>
  <si>
    <t>MING FERN</t>
  </si>
  <si>
    <t>MINI GERBERAS</t>
  </si>
  <si>
    <t>Minicarnations</t>
  </si>
  <si>
    <t>Hydrangea Mini Green</t>
  </si>
  <si>
    <t>Minihydrangeas</t>
  </si>
  <si>
    <t>MIRTO</t>
  </si>
  <si>
    <t>Molucellas</t>
  </si>
  <si>
    <t>Mums  Disbudded</t>
  </si>
  <si>
    <t>Mums Cremon</t>
  </si>
  <si>
    <t>Tinted Mums</t>
  </si>
  <si>
    <t>Mums Spyder</t>
  </si>
  <si>
    <t>Tinted Mums Spray</t>
  </si>
  <si>
    <t>Palma Rovelina</t>
  </si>
  <si>
    <t>PANDANUS</t>
  </si>
  <si>
    <t>PAPYRUS</t>
  </si>
  <si>
    <t>Photinias</t>
  </si>
  <si>
    <t>PINE</t>
  </si>
  <si>
    <t>Pittosporum</t>
  </si>
  <si>
    <t>CDN</t>
  </si>
  <si>
    <t>Pompoms Botton</t>
  </si>
  <si>
    <t>Pompoms Cremon</t>
  </si>
  <si>
    <t>Pompoms Cushion</t>
  </si>
  <si>
    <t>Pompoms Daisy</t>
  </si>
  <si>
    <t>Pompoms Novelty</t>
  </si>
  <si>
    <t>Pompoms Santini</t>
  </si>
  <si>
    <t>ROMERO</t>
  </si>
  <si>
    <t>ROSE COLOMBIA</t>
  </si>
  <si>
    <t>Rosas B</t>
  </si>
  <si>
    <t>Rose Red - 40 cm</t>
  </si>
  <si>
    <t>Rosas C</t>
  </si>
  <si>
    <t>Rose Red - 50 cm</t>
  </si>
  <si>
    <t>Rose Red - 60 cm</t>
  </si>
  <si>
    <t>Rosas A</t>
  </si>
  <si>
    <t>Rose Color - 40 cm</t>
  </si>
  <si>
    <t>Rose Color - 50 cm</t>
  </si>
  <si>
    <t>Rose Color - 60 cm</t>
  </si>
  <si>
    <t>Ruscus</t>
  </si>
  <si>
    <t>SALAL</t>
  </si>
  <si>
    <t>Snap Dragoons</t>
  </si>
  <si>
    <t>Solidago</t>
  </si>
  <si>
    <t>Solidagos</t>
  </si>
  <si>
    <t>Spray Rose - 50 cm</t>
  </si>
  <si>
    <t>Spray roses B</t>
  </si>
  <si>
    <t>ROSES_SPRAY</t>
  </si>
  <si>
    <t>Statice</t>
  </si>
  <si>
    <t>Statices</t>
  </si>
  <si>
    <t xml:space="preserve">Stock Double </t>
  </si>
  <si>
    <t>Stocks</t>
  </si>
  <si>
    <t>Stock Starlet</t>
  </si>
  <si>
    <t>STOCK_STARLET</t>
  </si>
  <si>
    <t>Sunflower</t>
  </si>
  <si>
    <t>Girasoles</t>
  </si>
  <si>
    <t>Standard GreenS</t>
  </si>
  <si>
    <t>Standard Greens Tint or Glitter</t>
  </si>
  <si>
    <t>Standard Greens Tint &amp; Glitter</t>
  </si>
  <si>
    <t>TRACHELIUM</t>
  </si>
  <si>
    <t>Triferns</t>
  </si>
  <si>
    <t>Vibornums</t>
  </si>
  <si>
    <t>CLEAR COLOR</t>
  </si>
  <si>
    <t>ESTE NOMBRE DE FLOR ES EL QUE SE UTILIZA PARA BUSCAR LOS CO-BIC-TNT-GLIT</t>
  </si>
  <si>
    <t>USA</t>
  </si>
  <si>
    <t>COL</t>
  </si>
  <si>
    <t>LISTA DE PRECIOS &amp; LISTA DEL FLORES DEL VALIDADOR</t>
  </si>
  <si>
    <t>PACK/FULL</t>
  </si>
  <si>
    <t>NOMBRE LINKS</t>
  </si>
  <si>
    <t>BICOLOR</t>
  </si>
  <si>
    <t>TINTED</t>
  </si>
  <si>
    <t>GLITTERED</t>
  </si>
  <si>
    <t>BONBON_DISBUDS</t>
  </si>
  <si>
    <t>MINICALLAS</t>
  </si>
  <si>
    <t>DIANTHUS_GREEN_BALL</t>
  </si>
  <si>
    <t>GARDEN_ROSES</t>
  </si>
  <si>
    <t>GERBERA_GERONDO</t>
  </si>
  <si>
    <t>LEATHER_LEAF</t>
  </si>
  <si>
    <t>LILLY_GRASS</t>
  </si>
  <si>
    <t>MICRO_POMS</t>
  </si>
  <si>
    <t>NOVELTY_POM</t>
  </si>
  <si>
    <t>PHOENIX_ROEBELENII</t>
  </si>
  <si>
    <t>SNAP_DRAGON</t>
  </si>
  <si>
    <t>STAR_OF_BETHELEHEM</t>
  </si>
  <si>
    <t>TREE_FERN</t>
  </si>
  <si>
    <t>FB COST</t>
  </si>
  <si>
    <t>HOLIDAYS</t>
  </si>
  <si>
    <t>HOLIDAYS 2</t>
  </si>
  <si>
    <t>ECUADOR</t>
  </si>
  <si>
    <t>AFRICA</t>
  </si>
  <si>
    <t>VALENTINE DAY</t>
  </si>
  <si>
    <t>MOTHER'S</t>
  </si>
  <si>
    <t>FALL</t>
  </si>
  <si>
    <t>XMAS</t>
  </si>
  <si>
    <t>TRANSFER</t>
  </si>
  <si>
    <t>TRANSF COST</t>
  </si>
  <si>
    <t>TR_COST_FB</t>
  </si>
  <si>
    <t>CASES</t>
  </si>
  <si>
    <t>FACTOR FB</t>
  </si>
  <si>
    <t>BX/PALLET</t>
  </si>
  <si>
    <t>Buckt, water, tape, linner</t>
  </si>
  <si>
    <t>WET MAXI CUBE (LOGO)</t>
  </si>
  <si>
    <t>12x14x26</t>
  </si>
  <si>
    <t>13x15x27</t>
  </si>
  <si>
    <t>WET XTALL</t>
  </si>
  <si>
    <t>12x14x32</t>
  </si>
  <si>
    <t>WET WALMART PROMO SINGLE DISPLAY</t>
  </si>
  <si>
    <t>16x13x25</t>
  </si>
  <si>
    <t>WET WALMART SINGLE</t>
  </si>
  <si>
    <t>12x10x23</t>
  </si>
  <si>
    <t>WP - DOUBLE</t>
  </si>
  <si>
    <t>20x12x25</t>
  </si>
  <si>
    <t>WET P</t>
  </si>
  <si>
    <t>25x13x25</t>
  </si>
  <si>
    <t>WET - ARR - DROP IN</t>
  </si>
  <si>
    <t>ARR - DROP IN</t>
  </si>
  <si>
    <t>23x18x19</t>
  </si>
  <si>
    <t>WET ARR LARGE</t>
  </si>
  <si>
    <t>ARR - LARGE</t>
  </si>
  <si>
    <t>WET CORNUCOPIA</t>
  </si>
  <si>
    <t>ARR CORNUCOPIA</t>
  </si>
  <si>
    <t>28x19x17</t>
  </si>
  <si>
    <t>PALLET SHIPPER X9</t>
  </si>
  <si>
    <t>PALLET SHIPPER</t>
  </si>
  <si>
    <t>48x40x24</t>
  </si>
  <si>
    <t>SINGLE BUCKET</t>
  </si>
  <si>
    <t>CUBE</t>
  </si>
  <si>
    <t>-</t>
  </si>
  <si>
    <t>DP FB RELATION</t>
  </si>
  <si>
    <t>factor_fb</t>
  </si>
  <si>
    <t>cubic_feet</t>
  </si>
  <si>
    <t>costo caja</t>
  </si>
  <si>
    <t>PACK TYPE</t>
  </si>
  <si>
    <t>CASES PER PALLET</t>
  </si>
  <si>
    <t>FULL</t>
  </si>
  <si>
    <t>40x20x8</t>
  </si>
  <si>
    <t>DP</t>
  </si>
  <si>
    <t>HALF ELITE</t>
  </si>
  <si>
    <t>40x10x8</t>
  </si>
  <si>
    <t>HALF SAFEWAY (18st)</t>
  </si>
  <si>
    <t>35x11x11</t>
  </si>
  <si>
    <t>HALF RUSA (.5)</t>
  </si>
  <si>
    <t>42x12x11</t>
  </si>
  <si>
    <t>THIRD</t>
  </si>
  <si>
    <t>39x7x10</t>
  </si>
  <si>
    <t>40x10x4</t>
  </si>
  <si>
    <t>Q - GERB (72St)</t>
  </si>
  <si>
    <t>42x11x6</t>
  </si>
  <si>
    <t>Q - GERB (100St)</t>
  </si>
  <si>
    <t>38x11x7</t>
  </si>
  <si>
    <t>FIFTH</t>
  </si>
  <si>
    <t>42x4x10</t>
  </si>
  <si>
    <t>EIGHT</t>
  </si>
  <si>
    <t>41x5x4</t>
  </si>
  <si>
    <t>PROCESS_TYPE</t>
  </si>
  <si>
    <t>WP_REG</t>
  </si>
  <si>
    <t>WP</t>
  </si>
  <si>
    <t>WP_DOUBLE</t>
  </si>
  <si>
    <t>ARR - FOAM</t>
  </si>
  <si>
    <t>ARR_FOAM</t>
  </si>
  <si>
    <t>ARR</t>
  </si>
  <si>
    <t>ARR - DROP IN MANUAL</t>
  </si>
  <si>
    <t>ARR_DROP_IN_MANUAL</t>
  </si>
  <si>
    <t>ARR - DROP IN MACHINE</t>
  </si>
  <si>
    <t>ARR_DROP_IN_MACHINE</t>
  </si>
  <si>
    <t>WP - PALLET SHIPPER</t>
  </si>
  <si>
    <t>PALLET_SHIPPER</t>
  </si>
  <si>
    <t>WET R</t>
  </si>
  <si>
    <t>WET PACK LABOR COST</t>
  </si>
  <si>
    <t>Wet Pack Cost</t>
  </si>
  <si>
    <t>ST. PATRICK</t>
  </si>
  <si>
    <t>COSTO POR RAMO</t>
  </si>
  <si>
    <t>CAN</t>
  </si>
  <si>
    <t>HAND LABOR COST</t>
  </si>
  <si>
    <t>1 - 9 STM</t>
  </si>
  <si>
    <t>11 - 17 STM</t>
  </si>
  <si>
    <t>18 - 24 STM</t>
  </si>
  <si>
    <t>25 - 30 STM</t>
  </si>
  <si>
    <t>31 &lt;STM</t>
  </si>
  <si>
    <t>XXX</t>
  </si>
  <si>
    <t>CUST_LIST</t>
  </si>
  <si>
    <t xml:space="preserve"> OPEN DESIGN</t>
  </si>
  <si>
    <t>OTHER HOLIDAYS</t>
  </si>
  <si>
    <t>AGAPANTHUS</t>
  </si>
  <si>
    <t>ARRELLIA</t>
  </si>
  <si>
    <t>ASTER BUTTER</t>
  </si>
  <si>
    <t>ASTER KRALLEN</t>
  </si>
  <si>
    <t>BELLS OF IRELAND</t>
  </si>
  <si>
    <t>BOUVARDIA</t>
  </si>
  <si>
    <t xml:space="preserve">CALLA </t>
  </si>
  <si>
    <t>CAMPANULAS</t>
  </si>
  <si>
    <t>COCCULUS</t>
  </si>
  <si>
    <t xml:space="preserve">DELPHINIUM </t>
  </si>
  <si>
    <t>DIANTHUS (GREEN BALL)</t>
  </si>
  <si>
    <t>ERYNGIUM ALPINUM</t>
  </si>
  <si>
    <t>ERYNGIUM MAGICAL</t>
  </si>
  <si>
    <t>FLAXLEAVE</t>
  </si>
  <si>
    <t>FOOTBALL MUM</t>
  </si>
  <si>
    <t>GERONDO</t>
  </si>
  <si>
    <t>GREEN</t>
  </si>
  <si>
    <t xml:space="preserve">GYPSOPHILA </t>
  </si>
  <si>
    <t>KALE</t>
  </si>
  <si>
    <t xml:space="preserve">LEUCADENDRON </t>
  </si>
  <si>
    <t>LIATRIS</t>
  </si>
  <si>
    <t xml:space="preserve">LILY ASIATIC </t>
  </si>
  <si>
    <t>LILY GRASS (x3)</t>
  </si>
  <si>
    <t>LILY L.A.</t>
  </si>
  <si>
    <t>LILY ORIENTAL</t>
  </si>
  <si>
    <t xml:space="preserve">LIMONIUM </t>
  </si>
  <si>
    <t xml:space="preserve">LISIANTHUS </t>
  </si>
  <si>
    <t>MICROPOMPON</t>
  </si>
  <si>
    <t>MINI HYDRANGEA</t>
  </si>
  <si>
    <t>PHYTO SPORY</t>
  </si>
  <si>
    <t>POMPON BUTTON</t>
  </si>
  <si>
    <t>POMPON CUSHION</t>
  </si>
  <si>
    <t>POMPON DAISY</t>
  </si>
  <si>
    <t>ROBERT MUM</t>
  </si>
  <si>
    <t>ROEBELENII</t>
  </si>
  <si>
    <t>ROSEMARY</t>
  </si>
  <si>
    <t>ROSES RED</t>
  </si>
  <si>
    <t>SPIDER GERBERA</t>
  </si>
  <si>
    <t>SPIDER MUM</t>
  </si>
  <si>
    <t>SPRAYROSES</t>
  </si>
  <si>
    <t>STOCK</t>
  </si>
  <si>
    <t>TILEAVES</t>
  </si>
  <si>
    <t>VIBORNUM</t>
  </si>
  <si>
    <t>Full/Pack</t>
  </si>
  <si>
    <t>Product</t>
  </si>
  <si>
    <t>Origen</t>
  </si>
  <si>
    <t>Color</t>
  </si>
  <si>
    <t>Grado</t>
  </si>
  <si>
    <t>TINTED OR GLITTERED</t>
  </si>
  <si>
    <t>TINTED &amp; GLITTERED</t>
  </si>
  <si>
    <t>FLAX</t>
  </si>
  <si>
    <t>GERBERA GERRONDO</t>
  </si>
  <si>
    <t>HYDRAGEA</t>
  </si>
  <si>
    <t>ROSES SPRAY</t>
  </si>
  <si>
    <t>VERONICA RC</t>
  </si>
  <si>
    <t>NOMBRE PARA LA BASE DE DATOS</t>
  </si>
  <si>
    <t>CO_ROSES_SPRAY</t>
  </si>
  <si>
    <t>CO_STOCK_DOUBLE</t>
  </si>
  <si>
    <t>CO_STOCK_STARLET</t>
  </si>
  <si>
    <t>CO_MINIHYDRANGEA</t>
  </si>
  <si>
    <t>CO_ALSTROEMERIA</t>
  </si>
  <si>
    <t>CO_ARALIA</t>
  </si>
  <si>
    <t>CO_ASIATIC</t>
  </si>
  <si>
    <t>CO_ASPIDISTRA</t>
  </si>
  <si>
    <t>CO_ASTER</t>
  </si>
  <si>
    <t>CO_BRASSICAS</t>
  </si>
  <si>
    <t>CO_BUTTON</t>
  </si>
  <si>
    <t>CO_CARNATION</t>
  </si>
  <si>
    <t>CO_CEDAR</t>
  </si>
  <si>
    <t>CO_COCCULOS</t>
  </si>
  <si>
    <t>CO_CORDYLINE</t>
  </si>
  <si>
    <t>CO_CREMON</t>
  </si>
  <si>
    <t>CO_CROTTON</t>
  </si>
  <si>
    <t>CO_CUSHION</t>
  </si>
  <si>
    <t>CO_DAISY</t>
  </si>
  <si>
    <t>CO_DIANTHUS</t>
  </si>
  <si>
    <t>CO_BONBON_DISBUD</t>
  </si>
  <si>
    <t>CO_ERYNGIUM</t>
  </si>
  <si>
    <t>CO_EUCALIPTUS</t>
  </si>
  <si>
    <t>CO_GARDEN_ROSES</t>
  </si>
  <si>
    <t>CO_GERBERA</t>
  </si>
  <si>
    <t>CO_GERBERA_GERONDO</t>
  </si>
  <si>
    <t>CO_GREVILLEAS</t>
  </si>
  <si>
    <t>CO_GYPSOPHILA</t>
  </si>
  <si>
    <t>CO_HYDRANGEA</t>
  </si>
  <si>
    <t>CO_HYPERYCUM</t>
  </si>
  <si>
    <t>CO_LEATHER_LEAF</t>
  </si>
  <si>
    <t>CO_LEUCADENDRON</t>
  </si>
  <si>
    <t>CO_LILLY_GRASS</t>
  </si>
  <si>
    <t>CO_LIMONIUM</t>
  </si>
  <si>
    <t>CO_MATSUMOTO</t>
  </si>
  <si>
    <t>CO_MICRO_POMS</t>
  </si>
  <si>
    <t>CO_MINICARNATION</t>
  </si>
  <si>
    <t>CO_MOLUCELLA</t>
  </si>
  <si>
    <t>CO_MUMS</t>
  </si>
  <si>
    <t>CO_NOVELTY</t>
  </si>
  <si>
    <t>CO_ORIENTAL</t>
  </si>
  <si>
    <t>CO_PHOENIX_ROEBELENII</t>
  </si>
  <si>
    <t>CO_PHOTINIA</t>
  </si>
  <si>
    <t>CO_PITTOSPORUM</t>
  </si>
  <si>
    <t>CO_ROSES</t>
  </si>
  <si>
    <t>CO_RUSCUS</t>
  </si>
  <si>
    <t>CO_SANTINI</t>
  </si>
  <si>
    <t>CO_SNAP_DRAGON</t>
  </si>
  <si>
    <t>CO_SOLIDAGO</t>
  </si>
  <si>
    <t>CO_SPIDER</t>
  </si>
  <si>
    <t>CO_STAR_OF_BETHELEHEM</t>
  </si>
  <si>
    <t>CO_STATICE</t>
  </si>
  <si>
    <t>CO_SUNFLOWER</t>
  </si>
  <si>
    <t>CO_TREEFERN</t>
  </si>
  <si>
    <t>CO_VIBURNUM</t>
  </si>
  <si>
    <t>CO_MINICALLAS</t>
  </si>
  <si>
    <t>CO_CALLAS</t>
  </si>
  <si>
    <t>CO_SALAL</t>
  </si>
  <si>
    <t>ASSORTED</t>
  </si>
  <si>
    <t>BURGUNDY</t>
  </si>
  <si>
    <t>WHITE</t>
  </si>
  <si>
    <t>PEACH</t>
  </si>
  <si>
    <t>ANTIQUE</t>
  </si>
  <si>
    <t>BLUE</t>
  </si>
  <si>
    <t>DORADO</t>
  </si>
  <si>
    <t>BRONZE</t>
  </si>
  <si>
    <t>CREAM</t>
  </si>
  <si>
    <t>PINK</t>
  </si>
  <si>
    <t>ORANGE</t>
  </si>
  <si>
    <t>DARK PINK</t>
  </si>
  <si>
    <t>YELLOW</t>
  </si>
  <si>
    <t>BLACK</t>
  </si>
  <si>
    <t>HOT PINK</t>
  </si>
  <si>
    <t>CHERRY</t>
  </si>
  <si>
    <t>PLATEADO</t>
  </si>
  <si>
    <t>BRONZE LIGHT</t>
  </si>
  <si>
    <t>BROWN</t>
  </si>
  <si>
    <t>LAVENDER</t>
  </si>
  <si>
    <t xml:space="preserve">HOT PINK                                          </t>
  </si>
  <si>
    <t>PURPLE</t>
  </si>
  <si>
    <t>DARK PURPLE</t>
  </si>
  <si>
    <t>VARIEGATED</t>
  </si>
  <si>
    <t>CONFETI BLUE</t>
  </si>
  <si>
    <t>BRONZE ORANGE</t>
  </si>
  <si>
    <t>LIME GREEN</t>
  </si>
  <si>
    <t>MEDIUM PINK</t>
  </si>
  <si>
    <t>CONFETI GREEN</t>
  </si>
  <si>
    <t>BRONZE RED</t>
  </si>
  <si>
    <t>CONFETI ORANGE</t>
  </si>
  <si>
    <t>LIGHT BLUE</t>
  </si>
  <si>
    <t>CONFETI PINK</t>
  </si>
  <si>
    <t>NOVELTIES</t>
  </si>
  <si>
    <t>LAVENDER ANTIQUE</t>
  </si>
  <si>
    <t>CONFETI RAINBOW</t>
  </si>
  <si>
    <t>CONFETI RED</t>
  </si>
  <si>
    <t>PINK DARK</t>
  </si>
  <si>
    <t>CONFETI YELLOW</t>
  </si>
  <si>
    <t>NOVELTY ORANGE</t>
  </si>
  <si>
    <t>NOVELTY YELLOW</t>
  </si>
  <si>
    <t>NOVELTY PEACH</t>
  </si>
  <si>
    <t>ORIGAMY</t>
  </si>
  <si>
    <t>RAINBOW</t>
  </si>
  <si>
    <t>PEPERMINT</t>
  </si>
  <si>
    <t>SILVER</t>
  </si>
  <si>
    <t>PURPLE NOVELTY</t>
  </si>
  <si>
    <t>PINK ANTIQUE</t>
  </si>
  <si>
    <t>TREEFERN</t>
  </si>
  <si>
    <t>GERBERA_GERRONDO</t>
  </si>
  <si>
    <t>DIANTHUS_-_GREEN_BALL</t>
  </si>
  <si>
    <t>40 CM</t>
  </si>
  <si>
    <t>PREMIUM</t>
  </si>
  <si>
    <t>SEL</t>
  </si>
  <si>
    <t>PETITE</t>
  </si>
  <si>
    <t>SELECT</t>
  </si>
  <si>
    <t>FANCY</t>
  </si>
  <si>
    <t>50 CM</t>
  </si>
  <si>
    <t>STANDARD</t>
  </si>
  <si>
    <t>60 CM</t>
  </si>
  <si>
    <t>STANDAR</t>
  </si>
  <si>
    <t>70 CM</t>
  </si>
  <si>
    <t>SUPER PREMIUM</t>
  </si>
  <si>
    <t>BC_ALSTROEMERIA</t>
  </si>
  <si>
    <t>BC_ASIATIC</t>
  </si>
  <si>
    <t>BC_BRASSICAS</t>
  </si>
  <si>
    <t>BC_CALLAS</t>
  </si>
  <si>
    <t>BC_CARNATION</t>
  </si>
  <si>
    <t>BC_CORDYLINE</t>
  </si>
  <si>
    <t>BC_CREMON</t>
  </si>
  <si>
    <t>BC_CUSHION</t>
  </si>
  <si>
    <t>BC_DAISY</t>
  </si>
  <si>
    <t>BC_BONBON_DISBUD</t>
  </si>
  <si>
    <t>BC_GERBERA</t>
  </si>
  <si>
    <t>BC_GERBERA_GERONDO</t>
  </si>
  <si>
    <t>BC_HYDRANGEA</t>
  </si>
  <si>
    <t>BC_LEUCADENDRON</t>
  </si>
  <si>
    <t>BC_LILLY_GRASS</t>
  </si>
  <si>
    <t>BC_MINICARNATION</t>
  </si>
  <si>
    <t>BC_NOVELTY</t>
  </si>
  <si>
    <t>BC_ROSES</t>
  </si>
  <si>
    <t>BC_SNAP_DRAGON</t>
  </si>
  <si>
    <t>BC_SPIDER</t>
  </si>
  <si>
    <t>BC_ROSES_SPRAY</t>
  </si>
  <si>
    <t>BC_MATSUMOTO</t>
  </si>
  <si>
    <t>BC_LIRIOS</t>
  </si>
  <si>
    <t>BICOLOR YELLOW/ORANGE</t>
  </si>
  <si>
    <t>TRICOLOR GREEN - WHITE - PURPLE</t>
  </si>
  <si>
    <t>BICOLOR WHITE - PURPLE</t>
  </si>
  <si>
    <t>ANTIQUE PINK-WHITE</t>
  </si>
  <si>
    <t>BICOLOR BRONZE YELLOW</t>
  </si>
  <si>
    <t>BICOLOR BRONZE</t>
  </si>
  <si>
    <t>BICOLOR WHITE - BROWN</t>
  </si>
  <si>
    <t>BICOLOR WHITE - PINK</t>
  </si>
  <si>
    <t>BICOLOR WHITE - GREEN</t>
  </si>
  <si>
    <t>BIC CREAM-BURGUNDY</t>
  </si>
  <si>
    <t>BICOLOR LAVENDER - PURPLE</t>
  </si>
  <si>
    <t>BICOLOR WHITE - RED</t>
  </si>
  <si>
    <t>BICOLOR BRONZE - YELLOW</t>
  </si>
  <si>
    <t>BICOLOR WHITE-PURPLE</t>
  </si>
  <si>
    <t>BICOLOR HOT PINK</t>
  </si>
  <si>
    <t>BICOLOR GREEN WHITE</t>
  </si>
  <si>
    <t>BICOLOR CREAM BRONZE</t>
  </si>
  <si>
    <t>BICOLOR WHITE - LAVENDER</t>
  </si>
  <si>
    <t>BICOLOR CREAM RED</t>
  </si>
  <si>
    <t>BICOLOR YELLOW</t>
  </si>
  <si>
    <t>BICOLOR RED - GREEN</t>
  </si>
  <si>
    <t>GREEN-WHITE</t>
  </si>
  <si>
    <t>BIC HOT PINK-WHITE</t>
  </si>
  <si>
    <t>BICOLOR LAVENDER GREEN</t>
  </si>
  <si>
    <t>BICOLOR WHITE GREEN</t>
  </si>
  <si>
    <t>BICOLOR CREAM PINK</t>
  </si>
  <si>
    <t>BICOLOR LAVANDER - PURPLE</t>
  </si>
  <si>
    <t>BICOLOR BURGUNDY - HOT PINK</t>
  </si>
  <si>
    <t>BICOLOR YELLOW - BRONZE</t>
  </si>
  <si>
    <t>BICOLOR BURGUNDY YELLOW</t>
  </si>
  <si>
    <t>BICOLOR ORANGE</t>
  </si>
  <si>
    <t>BIC PURPLE-WHITE</t>
  </si>
  <si>
    <t>BICOLOR PURPLE</t>
  </si>
  <si>
    <t>BICOLOR YELLOW BRONZE</t>
  </si>
  <si>
    <t>BICOLOR PINK</t>
  </si>
  <si>
    <t>BICOLOR LAVENDER</t>
  </si>
  <si>
    <t>BICOLOR CREAM - BURGUNDY</t>
  </si>
  <si>
    <t>BICOLOR PURPLE - WHITE</t>
  </si>
  <si>
    <t>BICOLOR YELLOW - ORANGE</t>
  </si>
  <si>
    <t>BICOLOR LAVENDER - WHITE</t>
  </si>
  <si>
    <t>BICOLOR ORANGE - YELLOW</t>
  </si>
  <si>
    <t>BICOLOR RED YELLOW</t>
  </si>
  <si>
    <t>BICOLOR CREAM PURPLE</t>
  </si>
  <si>
    <t>WHITE/GREEN</t>
  </si>
  <si>
    <t>BICOLOR PINK WHITE</t>
  </si>
  <si>
    <t>BICOLOR PINK - WHITE</t>
  </si>
  <si>
    <t>BICOLOR PEACH PINK</t>
  </si>
  <si>
    <t>BICOLOR CREAM-HOT PINK</t>
  </si>
  <si>
    <t>BICOLOR RED - WHITE</t>
  </si>
  <si>
    <t>BICOLOR GREEN - RED</t>
  </si>
  <si>
    <t>BICOLOR YELLOW RED</t>
  </si>
  <si>
    <t>BICOLOR GREEN - PINK</t>
  </si>
  <si>
    <t>BICOLOR WHITE - HOT PINK</t>
  </si>
  <si>
    <t>BICOLOR PINK - HOT PINK</t>
  </si>
  <si>
    <t>HOT PINK BICOLOR</t>
  </si>
  <si>
    <t>BICOLOR HOT PINK - PINK</t>
  </si>
  <si>
    <t>BICOLORS</t>
  </si>
  <si>
    <t>BICOLOR PINK - PEACH</t>
  </si>
  <si>
    <t>ORANGE BICOLOR</t>
  </si>
  <si>
    <t>BICOLOR WHITE LAVENDER</t>
  </si>
  <si>
    <t>BICOLOR HOT PINK - WHITE</t>
  </si>
  <si>
    <t>BICOLOR PEACH - ORANGE</t>
  </si>
  <si>
    <t>YELLOW BICOLOR</t>
  </si>
  <si>
    <t>BICOLOR PURPLE PINK</t>
  </si>
  <si>
    <t>BICOLOR YELLOW - CREAM</t>
  </si>
  <si>
    <t>BICOLOR YELLOW - RED</t>
  </si>
  <si>
    <t>BICOLOR PINK - CREAM</t>
  </si>
  <si>
    <t>BICOLOR TERRA</t>
  </si>
  <si>
    <t>BICOLOR ORANGE HOT PINK</t>
  </si>
  <si>
    <t>BICOLOR PINK - GREEN</t>
  </si>
  <si>
    <t>BICOLOR WHITE HOT PINK</t>
  </si>
  <si>
    <t>BICOLOR PINK - CREAM ANTIQUE</t>
  </si>
  <si>
    <t>BICOLOR YELLO - ORANGE</t>
  </si>
  <si>
    <t>BICOLOR PINK PURPLE</t>
  </si>
  <si>
    <t>BICOLOR RED</t>
  </si>
  <si>
    <t>BICOLOR YELLOW-HOT PINK</t>
  </si>
  <si>
    <t>BICOLOR PURPLE - LAVENDER</t>
  </si>
  <si>
    <t>BICOLOR WHITE PINK</t>
  </si>
  <si>
    <t>BICOLOR WHITE RED</t>
  </si>
  <si>
    <t>BICOLOR RED - CREAM</t>
  </si>
  <si>
    <t>BICOLOR YELLOW PINK</t>
  </si>
  <si>
    <t>BICOLOR RED - WHITE ANTIQUE</t>
  </si>
  <si>
    <t>BICOLOR YELLOW - BURGUNDY</t>
  </si>
  <si>
    <t>TNT_ASIATIC</t>
  </si>
  <si>
    <t>TNT_ASTER</t>
  </si>
  <si>
    <t>TNT_ROSES</t>
  </si>
  <si>
    <t>TNT_ALSTROEMERIA</t>
  </si>
  <si>
    <t>TNT_ROSES_SPRAY</t>
  </si>
  <si>
    <t>TNT_LIMONIUM</t>
  </si>
  <si>
    <t>TNT_MINICARNATION</t>
  </si>
  <si>
    <t>TNT_CARNATION</t>
  </si>
  <si>
    <t>TNT_SUNFLOWER</t>
  </si>
  <si>
    <t>TNT_GERBERA</t>
  </si>
  <si>
    <t>TNT_GYPSOPHILA</t>
  </si>
  <si>
    <t>TNT_SPIDER</t>
  </si>
  <si>
    <t>TNT_CREMON</t>
  </si>
  <si>
    <t>TNT_RUSCUS</t>
  </si>
  <si>
    <t>TNT_HYDRANGEA</t>
  </si>
  <si>
    <t>TNT_ERYNGIUM</t>
  </si>
  <si>
    <t>TNT_SOLIDAGO</t>
  </si>
  <si>
    <t>TNT_CUSHION</t>
  </si>
  <si>
    <t>TNT_DAISY</t>
  </si>
  <si>
    <t>TNT_MICRO_POMS</t>
  </si>
  <si>
    <t>TNT_NOVELTY</t>
  </si>
  <si>
    <t>TNT_PHOENIX_ROEBELENII</t>
  </si>
  <si>
    <t>TNT_TREEFERN</t>
  </si>
  <si>
    <t>TNT_CEDAR</t>
  </si>
  <si>
    <t>WHITE PAINTED BLACK</t>
  </si>
  <si>
    <t>TINTED BLACK</t>
  </si>
  <si>
    <t>TINTED BLUE</t>
  </si>
  <si>
    <t xml:space="preserve">TINTED LIME GREEN                                 </t>
  </si>
  <si>
    <t>TINTED ASSORTED</t>
  </si>
  <si>
    <t>TINTED HOT PINK</t>
  </si>
  <si>
    <t>TINTED GREEN</t>
  </si>
  <si>
    <t>TINTED PINK</t>
  </si>
  <si>
    <t>TINTED AQUA</t>
  </si>
  <si>
    <t xml:space="preserve">TINTED AQUA                                       </t>
  </si>
  <si>
    <t>ASSORTED TINTED</t>
  </si>
  <si>
    <t>TINTED AGUA BLUE</t>
  </si>
  <si>
    <t>TINTED ORANGE</t>
  </si>
  <si>
    <t>TINTED RED</t>
  </si>
  <si>
    <t>TINTED BURGUNDY</t>
  </si>
  <si>
    <t xml:space="preserve">TINTED ORANGE                                     </t>
  </si>
  <si>
    <t>TINTED AQUA BLUE</t>
  </si>
  <si>
    <t>TINTED LAVENDER</t>
  </si>
  <si>
    <t>TINTED DARK LAVENDER</t>
  </si>
  <si>
    <t>TINTED PURPLE</t>
  </si>
  <si>
    <t>TINTED BROWN</t>
  </si>
  <si>
    <t xml:space="preserve">TINTED BLACK                                      </t>
  </si>
  <si>
    <t>TINTED LIGHT PINK</t>
  </si>
  <si>
    <t>TINTED GOLD</t>
  </si>
  <si>
    <t xml:space="preserve">TINTED LAVENDER                                   </t>
  </si>
  <si>
    <t>TINTED YELLOW</t>
  </si>
  <si>
    <t>TINTED KELLY GREEN</t>
  </si>
  <si>
    <t>TINTED LILA</t>
  </si>
  <si>
    <t>TINTED COPPER</t>
  </si>
  <si>
    <t>TINTED DARK BLUE</t>
  </si>
  <si>
    <t>TINTED LIME GREEN</t>
  </si>
  <si>
    <t>TINTED LIGHT BLUE</t>
  </si>
  <si>
    <t xml:space="preserve">TINTED RED                    </t>
  </si>
  <si>
    <t>TINTED TELLOW</t>
  </si>
  <si>
    <t>TINTED WHITE</t>
  </si>
  <si>
    <t>TINTED SILVER</t>
  </si>
  <si>
    <t>TINTED PASTEL BLUE</t>
  </si>
  <si>
    <t>TINTED PASTEL GREEN</t>
  </si>
  <si>
    <t>TINTED LIGHT YELLOW</t>
  </si>
  <si>
    <t>TINTED PASTEL LAVENDER</t>
  </si>
  <si>
    <t>TINTED HOT PURPLE</t>
  </si>
  <si>
    <t>TINTED LIGHT PURPLE</t>
  </si>
  <si>
    <t>TINTED PASTEL PINK</t>
  </si>
  <si>
    <t>TINTED PASTEL YELLOW</t>
  </si>
  <si>
    <t>TINTED PEACH</t>
  </si>
  <si>
    <t>TINTED LIGHT ORANGE</t>
  </si>
  <si>
    <t>TINTED TRUE BLUE</t>
  </si>
  <si>
    <t xml:space="preserve">TINTED RED                                        </t>
  </si>
  <si>
    <t>TINTED ROSE PINK</t>
  </si>
  <si>
    <t>TINTED SKY BLUE</t>
  </si>
  <si>
    <t>TINTED TEAL BLUE</t>
  </si>
  <si>
    <t>TINTED VIOLET</t>
  </si>
  <si>
    <t>TINTED TRUE</t>
  </si>
  <si>
    <t>GLITTER AQUA</t>
  </si>
  <si>
    <t>LIGHT BLUE GLITTER</t>
  </si>
  <si>
    <t>GLITTER BLUE</t>
  </si>
  <si>
    <t>GLITTER GOLD</t>
  </si>
  <si>
    <t>GLITTERED RED</t>
  </si>
  <si>
    <t>GLITTER GREEN</t>
  </si>
  <si>
    <t>GLITTERED SILVER</t>
  </si>
  <si>
    <t>GLITTER HOT PINK</t>
  </si>
  <si>
    <t>GLITTER LAVENDER</t>
  </si>
  <si>
    <t>GLITTER LIGHT BLUE</t>
  </si>
  <si>
    <t>GLITTER LIGHT ORANGE</t>
  </si>
  <si>
    <t>GLITTER LIME GREEN</t>
  </si>
  <si>
    <t>GLITTER ORANGE</t>
  </si>
  <si>
    <t>GLITTER PINK</t>
  </si>
  <si>
    <t>GLITTER PURPLE</t>
  </si>
  <si>
    <t>GLITTER RED</t>
  </si>
  <si>
    <t>GLITTER SILVER</t>
  </si>
  <si>
    <t>GLITTER YELLOW</t>
  </si>
  <si>
    <t>GLT_LIMONIUM</t>
  </si>
  <si>
    <t>GLT_GYPSOPHILA</t>
  </si>
  <si>
    <t>GLT_SPIDER</t>
  </si>
  <si>
    <t>GLT_CREMON</t>
  </si>
  <si>
    <t>GLT_EUCALIPTUS</t>
  </si>
  <si>
    <t>GLT_LEATHER_LEAF</t>
  </si>
  <si>
    <t>GLT_TREEFERN</t>
  </si>
  <si>
    <t>GLT_RUSCUS</t>
  </si>
  <si>
    <t>GLT_HYPERYCUM</t>
  </si>
  <si>
    <t>GLT_CEDAR</t>
  </si>
  <si>
    <t>GLT_ERYNGIUM</t>
  </si>
  <si>
    <t>GLT_BRASSICAS</t>
  </si>
  <si>
    <t>GLT_CUSHION</t>
  </si>
  <si>
    <t>GLT_DAISY</t>
  </si>
  <si>
    <t>GLT_MICRO_POMS</t>
  </si>
  <si>
    <t>GLT_NOVELTY</t>
  </si>
  <si>
    <t>GLITTERED BLACK</t>
  </si>
  <si>
    <t>GLITTERED GOLD</t>
  </si>
  <si>
    <t>GLITTERED ORANGE</t>
  </si>
  <si>
    <t xml:space="preserve">GLITTERED  BLUE                            </t>
  </si>
  <si>
    <t>GLITTERED AQUA</t>
  </si>
  <si>
    <t>WHITE  GLITTERED SILVER</t>
  </si>
  <si>
    <t>GLITTERED GREEN</t>
  </si>
  <si>
    <t>GLITTERED HOT PINK</t>
  </si>
  <si>
    <t>GLITTERED COPPER</t>
  </si>
  <si>
    <t>GLITTERED BLUE</t>
  </si>
  <si>
    <t>GLITTERED LIGHT BLUE</t>
  </si>
  <si>
    <t>GLITTERED LAVENDER</t>
  </si>
  <si>
    <t>GLITTERED YELLOW</t>
  </si>
  <si>
    <t>GLITTERED PINK</t>
  </si>
  <si>
    <t>LITTERED PURPLE</t>
  </si>
  <si>
    <t>GLITTERED PURPLE</t>
  </si>
  <si>
    <t>GLITTERED LIGHT ORANGE</t>
  </si>
  <si>
    <t>GLITTERED LIME GREEN</t>
  </si>
  <si>
    <t>GLITTERED WHITE</t>
  </si>
  <si>
    <t>TNT_GLT_LIMONIUM</t>
  </si>
  <si>
    <t>TNT_GLT_GYPSOPHILA</t>
  </si>
  <si>
    <t>TNT_GLT_SPIDER</t>
  </si>
  <si>
    <t>TNT_GLT_EUCALIPTUS</t>
  </si>
  <si>
    <t>TNT_GLT_LEATHER_LEAF</t>
  </si>
  <si>
    <t>TNT_GLT_TREEFERN</t>
  </si>
  <si>
    <t>TNT_GLT_RUSCUS</t>
  </si>
  <si>
    <t>TNT_GLT_CEDAR</t>
  </si>
  <si>
    <t>TNT_GLT_PHOENIX_ROEBELENII</t>
  </si>
  <si>
    <t>TNT_GLT_ERYNGIUM</t>
  </si>
  <si>
    <t>TNT_GLT_COCCULOS</t>
  </si>
  <si>
    <t>TNT_GLT_CUSHION</t>
  </si>
  <si>
    <t>TNT_GLT_DAISY</t>
  </si>
  <si>
    <t>TNT_GLT_NOVELTY</t>
  </si>
  <si>
    <t>TINTED BLACK GLITTER BLACK</t>
  </si>
  <si>
    <t>MIRABELLA-TINTED PINK SILVER GLITTER</t>
  </si>
  <si>
    <t>SPIDER TINTED ORANGE GLITTER ORANGE</t>
  </si>
  <si>
    <t>TINTED_GLITTERED</t>
  </si>
  <si>
    <t>RUSCUS TINTED AQUA BLUE GLITTER SILVER</t>
  </si>
  <si>
    <t>ERYNGIUM ALP TINTED AQUA BLUE GLITTER SILVER</t>
  </si>
  <si>
    <t>TINTED - GLITTERED RED</t>
  </si>
  <si>
    <t>TINTED AGUA BLUE GLITTER SILVER</t>
  </si>
  <si>
    <t>TINTED LIGHT BLUE GLITTER</t>
  </si>
  <si>
    <t>TINTED HOT PINK GLITTER HOT PINK</t>
  </si>
  <si>
    <t>TINTED GOLD GLITTERED GOLD</t>
  </si>
  <si>
    <t>TINTED GLITTERED SILVER</t>
  </si>
  <si>
    <t>TINTED - GLITTERED WHITE</t>
  </si>
  <si>
    <t>TINTED RED-GLITTERED RED</t>
  </si>
  <si>
    <t>TINTED GLITER AQUA</t>
  </si>
  <si>
    <t>TINTED LIGHT PURPLE GLITTER</t>
  </si>
  <si>
    <t>TINTED HOT PINK GLITTERED RED</t>
  </si>
  <si>
    <t>TINTED PINK GLITTERED SILVER</t>
  </si>
  <si>
    <t>TINTED GLITER LAVENDER</t>
  </si>
  <si>
    <t>TINTED HOT PINK GLITTERED HOT PINK</t>
  </si>
  <si>
    <t>TINTED BLACK GLITTERED GOLD</t>
  </si>
  <si>
    <t>TINTED RED-GLITTERED SILVER</t>
  </si>
  <si>
    <t>TINTED GLITER BLUE</t>
  </si>
  <si>
    <t>TINTED LIGHT YELLOW GLITTER</t>
  </si>
  <si>
    <t>TINTED SILVER GLITTERED SILVER</t>
  </si>
  <si>
    <t>TINTED GLITER LIGHT BLUE</t>
  </si>
  <si>
    <t>TINTED BLACK GLITTERED ORANGE</t>
  </si>
  <si>
    <t>TINTED GLITER GOLD</t>
  </si>
  <si>
    <t>TINTED LIME GREEN GLITTER</t>
  </si>
  <si>
    <t>TINTED GLITER PINK</t>
  </si>
  <si>
    <t>TINTED BROWN GLITTERED COPPER</t>
  </si>
  <si>
    <t>TINTED GLITER GREEN</t>
  </si>
  <si>
    <t>TINTED GLITER RED</t>
  </si>
  <si>
    <t xml:space="preserve">TINTED GLITTERED  BLUE                            </t>
  </si>
  <si>
    <t>TINTED GLITER HOT PINK</t>
  </si>
  <si>
    <t>TINTED GLITTERED PURPLE</t>
  </si>
  <si>
    <t>TINTED GREEN GLITER SILVER</t>
  </si>
  <si>
    <t>TINTED GLITER LIGHT ORANGE</t>
  </si>
  <si>
    <t>TINTED GREEN GLITTERED GOLD</t>
  </si>
  <si>
    <t>TINTED GLITER LIME GREEN</t>
  </si>
  <si>
    <t>TINTED GREEN GLITTERED GREEN</t>
  </si>
  <si>
    <t>TINTED GLITER ORANGE</t>
  </si>
  <si>
    <t>TINTED ORANGE GLITTERED ORANGE</t>
  </si>
  <si>
    <t>TINTED GLITER PURPLE</t>
  </si>
  <si>
    <t>TINTED PINK GLITTERED PINK</t>
  </si>
  <si>
    <t>TINTED PINK -GLITTERED SILVER</t>
  </si>
  <si>
    <t>TINTED GLITER SILVER</t>
  </si>
  <si>
    <t>TINTED PURPLE GLITTERED SILVER</t>
  </si>
  <si>
    <t>TINTED GLITER YELLOW</t>
  </si>
  <si>
    <t>TINTED PURPLE-GLITTERED PURPLE</t>
  </si>
  <si>
    <t>TINTED HOT PINK GLITTER SILVER</t>
  </si>
  <si>
    <t>TINTED RED GLITTERED RED</t>
  </si>
  <si>
    <t>TINTED HOT PURPLE GLITTER  SILVER</t>
  </si>
  <si>
    <t xml:space="preserve">TINTED ORANGE GLITTER SILVER </t>
  </si>
  <si>
    <t>TINTED WHITE GLITTER BLUE</t>
  </si>
  <si>
    <t>TINTED YELLOW GLITTER SILVER</t>
  </si>
  <si>
    <t>TINTED WHITE GLITTER PURPLE</t>
  </si>
  <si>
    <t>TINTED WHITE GLITTER SILVER</t>
  </si>
  <si>
    <t>Spray RoseS</t>
  </si>
  <si>
    <t>12.99 BOSS DAY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</si>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</sst>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  <numFmt numFmtId="166" formatCode="_(* #,##0_);_(* \(#,##0\);_(* &quot;-&quot;??_);_(@_)"/>
    <numFmt numFmtId="167" formatCode="0.000"/>
    <numFmt numFmtId="168" formatCode="0.0%"/>
    <numFmt numFmtId="169" formatCode="&quot;$&quot;#,##0.000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9"/>
      <color theme="0" tint="-0.34998626667073579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7C80"/>
      <name val="Calibri"/>
      <family val="2"/>
      <scheme val="minor"/>
    </font>
    <font>
      <b/>
      <sz val="9"/>
      <color rgb="FFFF7C80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2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1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5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3" borderId="3" xfId="0" applyFill="1" applyBorder="1"/>
    <xf numFmtId="0" fontId="3" fillId="0" borderId="3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fill"/>
    </xf>
    <xf numFmtId="0" fontId="0" fillId="0" borderId="0" xfId="0" applyAlignment="1">
      <alignment horizontal="left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0" fillId="10" borderId="3" xfId="0" applyFill="1" applyBorder="1"/>
    <xf numFmtId="0" fontId="0" fillId="11" borderId="3" xfId="0" applyFill="1" applyBorder="1"/>
    <xf numFmtId="0" fontId="0" fillId="0" borderId="3" xfId="0" applyBorder="1"/>
    <xf numFmtId="44" fontId="0" fillId="0" borderId="0" xfId="1" applyFont="1"/>
    <xf numFmtId="0" fontId="7" fillId="0" borderId="0" xfId="0" applyFont="1"/>
    <xf numFmtId="44" fontId="7" fillId="0" borderId="0" xfId="1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2" fontId="10" fillId="0" borderId="0" xfId="0" applyNumberFormat="1" applyFont="1"/>
    <xf numFmtId="44" fontId="10" fillId="0" borderId="0" xfId="1" applyFont="1" applyFill="1" applyBorder="1" applyProtection="1"/>
    <xf numFmtId="44" fontId="0" fillId="0" borderId="0" xfId="1" applyFont="1" applyFill="1"/>
    <xf numFmtId="0" fontId="1" fillId="0" borderId="8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15" xfId="0" applyBorder="1"/>
    <xf numFmtId="0" fontId="0" fillId="0" borderId="20" xfId="0" applyBorder="1"/>
    <xf numFmtId="0" fontId="6" fillId="6" borderId="0" xfId="0" applyFont="1" applyFill="1"/>
    <xf numFmtId="7" fontId="10" fillId="0" borderId="3" xfId="1" applyNumberFormat="1" applyFont="1" applyFill="1" applyBorder="1" applyAlignment="1" applyProtection="1">
      <alignment horizontal="center"/>
    </xf>
    <xf numFmtId="0" fontId="13" fillId="0" borderId="0" xfId="0" applyFont="1"/>
    <xf numFmtId="0" fontId="3" fillId="4" borderId="3" xfId="0" applyFont="1" applyFill="1" applyBorder="1"/>
    <xf numFmtId="0" fontId="0" fillId="0" borderId="26" xfId="0" applyBorder="1"/>
    <xf numFmtId="0" fontId="0" fillId="4" borderId="3" xfId="0" applyFill="1" applyBorder="1"/>
    <xf numFmtId="0" fontId="1" fillId="0" borderId="0" xfId="0" applyFont="1" applyAlignment="1">
      <alignment vertical="top" textRotation="90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44" fontId="0" fillId="4" borderId="0" xfId="1" applyFont="1" applyFill="1"/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166" fontId="7" fillId="0" borderId="0" xfId="2" applyNumberFormat="1" applyFont="1"/>
    <xf numFmtId="0" fontId="12" fillId="0" borderId="26" xfId="0" applyFont="1" applyBorder="1" applyAlignment="1">
      <alignment horizontal="center" vertical="center" wrapText="1"/>
    </xf>
    <xf numFmtId="2" fontId="0" fillId="4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0" fontId="14" fillId="0" borderId="0" xfId="0" applyFont="1"/>
    <xf numFmtId="0" fontId="16" fillId="12" borderId="3" xfId="0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/>
      <protection locked="0"/>
    </xf>
    <xf numFmtId="0" fontId="16" fillId="13" borderId="3" xfId="0" applyFont="1" applyFill="1" applyBorder="1" applyAlignment="1" applyProtection="1">
      <alignment horizontal="center"/>
      <protection locked="0"/>
    </xf>
    <xf numFmtId="0" fontId="0" fillId="15" borderId="0" xfId="0" applyFill="1"/>
    <xf numFmtId="7" fontId="0" fillId="0" borderId="0" xfId="1" applyNumberFormat="1" applyFont="1" applyAlignment="1">
      <alignment horizontal="center"/>
    </xf>
    <xf numFmtId="7" fontId="0" fillId="0" borderId="0" xfId="1" applyNumberFormat="1" applyFont="1"/>
    <xf numFmtId="7" fontId="1" fillId="0" borderId="0" xfId="1" applyNumberFormat="1" applyFont="1" applyAlignment="1">
      <alignment horizontal="center"/>
    </xf>
    <xf numFmtId="167" fontId="7" fillId="0" borderId="0" xfId="0" applyNumberFormat="1" applyFont="1"/>
    <xf numFmtId="0" fontId="0" fillId="15" borderId="0" xfId="0" applyFill="1" applyAlignment="1">
      <alignment horizontal="center"/>
    </xf>
    <xf numFmtId="0" fontId="16" fillId="0" borderId="13" xfId="0" applyFont="1" applyBorder="1"/>
    <xf numFmtId="0" fontId="16" fillId="0" borderId="1" xfId="0" applyFont="1" applyBorder="1"/>
    <xf numFmtId="0" fontId="16" fillId="0" borderId="37" xfId="0" applyFont="1" applyBorder="1"/>
    <xf numFmtId="0" fontId="0" fillId="4" borderId="20" xfId="0" applyFill="1" applyBorder="1"/>
    <xf numFmtId="0" fontId="0" fillId="4" borderId="19" xfId="0" applyFill="1" applyBorder="1"/>
    <xf numFmtId="0" fontId="0" fillId="4" borderId="17" xfId="0" applyFill="1" applyBorder="1"/>
    <xf numFmtId="0" fontId="1" fillId="16" borderId="3" xfId="0" applyFont="1" applyFill="1" applyBorder="1" applyAlignment="1">
      <alignment horizontal="center"/>
    </xf>
    <xf numFmtId="0" fontId="1" fillId="16" borderId="17" xfId="0" applyFont="1" applyFill="1" applyBorder="1" applyAlignment="1">
      <alignment horizontal="center"/>
    </xf>
    <xf numFmtId="0" fontId="0" fillId="0" borderId="17" xfId="0" applyBorder="1"/>
    <xf numFmtId="0" fontId="0" fillId="15" borderId="11" xfId="0" applyFill="1" applyBorder="1"/>
    <xf numFmtId="0" fontId="22" fillId="4" borderId="44" xfId="0" applyFont="1" applyFill="1" applyBorder="1" applyAlignment="1" applyProtection="1">
      <alignment horizontal="center"/>
      <protection locked="0"/>
    </xf>
    <xf numFmtId="0" fontId="22" fillId="0" borderId="17" xfId="0" applyFont="1" applyBorder="1" applyAlignment="1" applyProtection="1">
      <alignment horizontal="centerContinuous"/>
      <protection locked="0"/>
    </xf>
    <xf numFmtId="0" fontId="19" fillId="17" borderId="4" xfId="0" applyFont="1" applyFill="1" applyBorder="1" applyAlignment="1">
      <alignment horizontal="center"/>
    </xf>
    <xf numFmtId="0" fontId="19" fillId="17" borderId="45" xfId="0" applyFont="1" applyFill="1" applyBorder="1" applyAlignment="1">
      <alignment horizontal="center"/>
    </xf>
    <xf numFmtId="0" fontId="25" fillId="17" borderId="17" xfId="0" applyFont="1" applyFill="1" applyBorder="1" applyAlignment="1">
      <alignment horizontal="center"/>
    </xf>
    <xf numFmtId="0" fontId="16" fillId="15" borderId="11" xfId="0" applyFont="1" applyFill="1" applyBorder="1"/>
    <xf numFmtId="0" fontId="16" fillId="15" borderId="0" xfId="0" applyFont="1" applyFill="1"/>
    <xf numFmtId="0" fontId="19" fillId="15" borderId="0" xfId="0" applyFont="1" applyFill="1" applyAlignment="1">
      <alignment horizontal="centerContinuous"/>
    </xf>
    <xf numFmtId="0" fontId="26" fillId="15" borderId="0" xfId="0" applyFont="1" applyFill="1"/>
    <xf numFmtId="0" fontId="27" fillId="15" borderId="13" xfId="0" applyFont="1" applyFill="1" applyBorder="1" applyAlignment="1" applyProtection="1">
      <alignment vertical="center" wrapText="1"/>
      <protection locked="0"/>
    </xf>
    <xf numFmtId="0" fontId="27" fillId="15" borderId="12" xfId="0" applyFont="1" applyFill="1" applyBorder="1" applyAlignment="1" applyProtection="1">
      <alignment vertical="center" wrapText="1"/>
      <protection locked="0"/>
    </xf>
    <xf numFmtId="0" fontId="16" fillId="15" borderId="0" xfId="0" applyFont="1" applyFill="1" applyAlignment="1">
      <alignment horizontal="center"/>
    </xf>
    <xf numFmtId="0" fontId="16" fillId="15" borderId="10" xfId="0" applyFont="1" applyFill="1" applyBorder="1"/>
    <xf numFmtId="0" fontId="0" fillId="15" borderId="9" xfId="0" applyFill="1" applyBorder="1"/>
    <xf numFmtId="0" fontId="26" fillId="15" borderId="22" xfId="0" applyFont="1" applyFill="1" applyBorder="1" applyAlignment="1">
      <alignment horizontal="center"/>
    </xf>
    <xf numFmtId="0" fontId="26" fillId="15" borderId="22" xfId="0" applyFont="1" applyFill="1" applyBorder="1"/>
    <xf numFmtId="0" fontId="26" fillId="15" borderId="8" xfId="0" applyFont="1" applyFill="1" applyBorder="1"/>
    <xf numFmtId="0" fontId="23" fillId="17" borderId="50" xfId="0" applyFont="1" applyFill="1" applyBorder="1" applyAlignment="1">
      <alignment horizontal="center"/>
    </xf>
    <xf numFmtId="0" fontId="23" fillId="17" borderId="51" xfId="0" applyFont="1" applyFill="1" applyBorder="1" applyAlignment="1">
      <alignment horizontal="center"/>
    </xf>
    <xf numFmtId="0" fontId="23" fillId="17" borderId="52" xfId="0" applyFont="1" applyFill="1" applyBorder="1" applyAlignment="1">
      <alignment horizontal="center"/>
    </xf>
    <xf numFmtId="0" fontId="23" fillId="17" borderId="30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 wrapText="1"/>
    </xf>
    <xf numFmtId="44" fontId="22" fillId="0" borderId="29" xfId="0" applyNumberFormat="1" applyFont="1" applyBorder="1" applyAlignment="1" applyProtection="1">
      <alignment horizontal="centerContinuous"/>
      <protection locked="0"/>
    </xf>
    <xf numFmtId="0" fontId="0" fillId="0" borderId="18" xfId="0" applyBorder="1" applyAlignment="1">
      <alignment horizontal="center"/>
    </xf>
    <xf numFmtId="0" fontId="21" fillId="17" borderId="27" xfId="0" applyFont="1" applyFill="1" applyBorder="1" applyAlignment="1" applyProtection="1">
      <alignment horizontal="center" vertical="center"/>
      <protection locked="0"/>
    </xf>
    <xf numFmtId="0" fontId="1" fillId="15" borderId="28" xfId="0" applyFont="1" applyFill="1" applyBorder="1" applyAlignment="1">
      <alignment horizontal="center"/>
    </xf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21" xfId="0" applyBorder="1" applyAlignment="1">
      <alignment horizontal="center"/>
    </xf>
    <xf numFmtId="0" fontId="0" fillId="15" borderId="37" xfId="0" applyFill="1" applyBorder="1"/>
    <xf numFmtId="0" fontId="0" fillId="15" borderId="38" xfId="0" applyFill="1" applyBorder="1" applyAlignment="1">
      <alignment horizontal="center"/>
    </xf>
    <xf numFmtId="0" fontId="19" fillId="17" borderId="14" xfId="0" applyFont="1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0" fontId="29" fillId="0" borderId="0" xfId="0" applyFont="1"/>
    <xf numFmtId="2" fontId="0" fillId="0" borderId="0" xfId="0" applyNumberFormat="1"/>
    <xf numFmtId="0" fontId="0" fillId="13" borderId="3" xfId="0" applyFill="1" applyBorder="1" applyAlignment="1" applyProtection="1">
      <alignment horizontal="center"/>
      <protection locked="0"/>
    </xf>
    <xf numFmtId="7" fontId="10" fillId="12" borderId="3" xfId="1" applyNumberFormat="1" applyFont="1" applyFill="1" applyBorder="1" applyAlignment="1" applyProtection="1">
      <alignment horizontal="center"/>
      <protection locked="0"/>
    </xf>
    <xf numFmtId="43" fontId="7" fillId="0" borderId="0" xfId="2" applyFont="1"/>
    <xf numFmtId="0" fontId="0" fillId="4" borderId="0" xfId="0" applyFill="1" applyAlignment="1">
      <alignment horizontal="left"/>
    </xf>
    <xf numFmtId="0" fontId="10" fillId="15" borderId="0" xfId="0" applyFont="1" applyFill="1"/>
    <xf numFmtId="0" fontId="16" fillId="0" borderId="0" xfId="0" applyFont="1"/>
    <xf numFmtId="0" fontId="20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9" fillId="0" borderId="0" xfId="0" applyFont="1"/>
    <xf numFmtId="0" fontId="1" fillId="0" borderId="0" xfId="0" applyFont="1" applyAlignment="1">
      <alignment vertical="center" wrapText="1"/>
    </xf>
    <xf numFmtId="0" fontId="1" fillId="0" borderId="11" xfId="0" applyFont="1" applyBorder="1"/>
    <xf numFmtId="0" fontId="30" fillId="0" borderId="23" xfId="0" applyFont="1" applyBorder="1" applyAlignment="1">
      <alignment horizontal="center" vertical="center" wrapText="1"/>
    </xf>
    <xf numFmtId="0" fontId="0" fillId="18" borderId="0" xfId="0" applyFill="1"/>
    <xf numFmtId="0" fontId="1" fillId="18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44" fontId="0" fillId="0" borderId="0" xfId="0" applyNumberFormat="1"/>
    <xf numFmtId="44" fontId="10" fillId="15" borderId="0" xfId="1" applyFont="1" applyFill="1" applyBorder="1" applyProtection="1"/>
    <xf numFmtId="0" fontId="10" fillId="14" borderId="0" xfId="0" applyFont="1" applyFill="1"/>
    <xf numFmtId="0" fontId="9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6" fillId="18" borderId="0" xfId="0" applyFont="1" applyFill="1" applyAlignment="1">
      <alignment horizontal="center"/>
    </xf>
    <xf numFmtId="0" fontId="17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textRotation="90"/>
    </xf>
    <xf numFmtId="0" fontId="8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shrinkToFit="1"/>
    </xf>
    <xf numFmtId="0" fontId="6" fillId="18" borderId="0" xfId="0" applyFont="1" applyFill="1" applyAlignment="1">
      <alignment horizontal="left"/>
    </xf>
    <xf numFmtId="43" fontId="32" fillId="0" borderId="0" xfId="2" applyFont="1" applyFill="1" applyBorder="1" applyAlignment="1" applyProtection="1">
      <alignment horizontal="left"/>
    </xf>
    <xf numFmtId="165" fontId="16" fillId="0" borderId="3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5" fontId="16" fillId="0" borderId="15" xfId="0" applyNumberFormat="1" applyFont="1" applyBorder="1" applyAlignment="1">
      <alignment horizontal="center"/>
    </xf>
    <xf numFmtId="165" fontId="16" fillId="0" borderId="16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65" fontId="16" fillId="0" borderId="18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165" fontId="16" fillId="0" borderId="20" xfId="0" applyNumberFormat="1" applyFont="1" applyBorder="1" applyAlignment="1">
      <alignment horizontal="center"/>
    </xf>
    <xf numFmtId="165" fontId="16" fillId="0" borderId="21" xfId="0" applyNumberFormat="1" applyFont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6" fillId="18" borderId="0" xfId="0" applyFont="1" applyFill="1"/>
    <xf numFmtId="9" fontId="37" fillId="0" borderId="0" xfId="3" applyFont="1" applyFill="1" applyBorder="1" applyAlignment="1">
      <alignment vertical="center"/>
    </xf>
    <xf numFmtId="0" fontId="1" fillId="0" borderId="0" xfId="0" applyFont="1" applyAlignment="1">
      <alignment textRotation="90" wrapText="1"/>
    </xf>
    <xf numFmtId="0" fontId="1" fillId="0" borderId="0" xfId="0" applyFont="1" applyAlignment="1">
      <alignment horizontal="center" textRotation="90" wrapText="1"/>
    </xf>
    <xf numFmtId="0" fontId="33" fillId="0" borderId="0" xfId="0" applyFont="1"/>
    <xf numFmtId="167" fontId="33" fillId="0" borderId="0" xfId="0" applyNumberFormat="1" applyFont="1"/>
    <xf numFmtId="44" fontId="33" fillId="0" borderId="0" xfId="1" applyFont="1"/>
    <xf numFmtId="166" fontId="33" fillId="0" borderId="0" xfId="2" applyNumberFormat="1" applyFont="1"/>
    <xf numFmtId="43" fontId="33" fillId="0" borderId="0" xfId="2" applyFont="1"/>
    <xf numFmtId="0" fontId="1" fillId="0" borderId="3" xfId="0" applyFont="1" applyBorder="1" applyAlignment="1">
      <alignment horizontal="center" vertical="center" wrapText="1"/>
    </xf>
    <xf numFmtId="0" fontId="16" fillId="13" borderId="0" xfId="0" applyFont="1" applyFill="1" applyAlignment="1" applyProtection="1">
      <alignment horizontal="center"/>
      <protection locked="0"/>
    </xf>
    <xf numFmtId="0" fontId="36" fillId="20" borderId="0" xfId="0" applyFont="1" applyFill="1"/>
    <xf numFmtId="165" fontId="16" fillId="0" borderId="43" xfId="0" applyNumberFormat="1" applyFont="1" applyBorder="1" applyAlignment="1">
      <alignment horizontal="center"/>
    </xf>
    <xf numFmtId="165" fontId="16" fillId="0" borderId="5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14" borderId="0" xfId="0" applyFill="1"/>
    <xf numFmtId="0" fontId="10" fillId="14" borderId="0" xfId="0" applyFont="1" applyFill="1" applyAlignment="1">
      <alignment horizontal="left"/>
    </xf>
    <xf numFmtId="44" fontId="10" fillId="14" borderId="0" xfId="1" applyFont="1" applyFill="1" applyBorder="1" applyProtection="1"/>
    <xf numFmtId="0" fontId="10" fillId="14" borderId="0" xfId="0" applyFont="1" applyFill="1" applyAlignment="1">
      <alignment horizontal="center"/>
    </xf>
    <xf numFmtId="0" fontId="40" fillId="0" borderId="0" xfId="0" applyFont="1"/>
    <xf numFmtId="0" fontId="41" fillId="0" borderId="0" xfId="0" applyFont="1"/>
    <xf numFmtId="0" fontId="40" fillId="0" borderId="10" xfId="0" applyFont="1" applyBorder="1"/>
    <xf numFmtId="0" fontId="40" fillId="0" borderId="11" xfId="0" applyFont="1" applyBorder="1"/>
    <xf numFmtId="0" fontId="40" fillId="0" borderId="12" xfId="0" applyFont="1" applyBorder="1"/>
    <xf numFmtId="0" fontId="42" fillId="0" borderId="8" xfId="0" applyFont="1" applyBorder="1"/>
    <xf numFmtId="0" fontId="1" fillId="0" borderId="22" xfId="0" applyFont="1" applyBorder="1"/>
    <xf numFmtId="0" fontId="1" fillId="0" borderId="9" xfId="0" applyFont="1" applyBorder="1"/>
    <xf numFmtId="0" fontId="41" fillId="0" borderId="11" xfId="0" applyFont="1" applyBorder="1"/>
    <xf numFmtId="0" fontId="41" fillId="0" borderId="1" xfId="0" applyFont="1" applyBorder="1"/>
    <xf numFmtId="0" fontId="41" fillId="0" borderId="13" xfId="0" applyFont="1" applyBorder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center"/>
    </xf>
    <xf numFmtId="2" fontId="7" fillId="15" borderId="0" xfId="0" applyNumberFormat="1" applyFont="1" applyFill="1" applyAlignment="1">
      <alignment horizontal="center"/>
    </xf>
    <xf numFmtId="2" fontId="7" fillId="14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 vertical="center" textRotation="90" wrapText="1"/>
    </xf>
    <xf numFmtId="0" fontId="0" fillId="6" borderId="0" xfId="0" applyFill="1"/>
    <xf numFmtId="0" fontId="0" fillId="0" borderId="15" xfId="0" applyBorder="1" applyAlignment="1" applyProtection="1">
      <alignment horizontal="center"/>
      <protection locked="0"/>
    </xf>
    <xf numFmtId="44" fontId="0" fillId="0" borderId="3" xfId="1" applyFont="1" applyBorder="1" applyProtection="1">
      <protection locked="0"/>
    </xf>
    <xf numFmtId="44" fontId="7" fillId="6" borderId="0" xfId="1" applyFont="1" applyFill="1"/>
    <xf numFmtId="0" fontId="1" fillId="0" borderId="3" xfId="0" applyFont="1" applyBorder="1" applyAlignment="1">
      <alignment wrapText="1"/>
    </xf>
    <xf numFmtId="0" fontId="10" fillId="6" borderId="0" xfId="0" applyFont="1" applyFill="1"/>
    <xf numFmtId="0" fontId="1" fillId="0" borderId="29" xfId="0" applyFont="1" applyBorder="1" applyAlignment="1">
      <alignment wrapText="1"/>
    </xf>
    <xf numFmtId="0" fontId="7" fillId="6" borderId="0" xfId="0" applyFont="1" applyFill="1"/>
    <xf numFmtId="0" fontId="9" fillId="0" borderId="14" xfId="0" applyFont="1" applyBorder="1"/>
    <xf numFmtId="7" fontId="10" fillId="0" borderId="15" xfId="1" applyNumberFormat="1" applyFont="1" applyFill="1" applyBorder="1" applyAlignment="1" applyProtection="1">
      <alignment horizontal="center"/>
    </xf>
    <xf numFmtId="0" fontId="9" fillId="0" borderId="17" xfId="0" applyFont="1" applyBorder="1"/>
    <xf numFmtId="0" fontId="9" fillId="0" borderId="3" xfId="0" applyFont="1" applyBorder="1"/>
    <xf numFmtId="0" fontId="9" fillId="0" borderId="32" xfId="0" applyFont="1" applyBorder="1"/>
    <xf numFmtId="0" fontId="0" fillId="0" borderId="36" xfId="0" applyBorder="1"/>
    <xf numFmtId="0" fontId="1" fillId="0" borderId="35" xfId="0" applyFont="1" applyBorder="1"/>
    <xf numFmtId="0" fontId="1" fillId="0" borderId="3" xfId="0" applyFont="1" applyBorder="1"/>
    <xf numFmtId="0" fontId="0" fillId="6" borderId="12" xfId="0" applyFill="1" applyBorder="1"/>
    <xf numFmtId="0" fontId="0" fillId="6" borderId="1" xfId="0" applyFill="1" applyBorder="1"/>
    <xf numFmtId="0" fontId="0" fillId="6" borderId="13" xfId="0" applyFill="1" applyBorder="1"/>
    <xf numFmtId="0" fontId="44" fillId="0" borderId="0" xfId="0" applyFont="1"/>
    <xf numFmtId="0" fontId="46" fillId="0" borderId="0" xfId="0" applyFont="1" applyAlignment="1">
      <alignment horizontal="center" vertical="center" shrinkToFit="1"/>
    </xf>
    <xf numFmtId="167" fontId="44" fillId="0" borderId="0" xfId="0" applyNumberFormat="1" applyFont="1"/>
    <xf numFmtId="44" fontId="44" fillId="0" borderId="0" xfId="1" applyFont="1"/>
    <xf numFmtId="166" fontId="44" fillId="0" borderId="0" xfId="2" applyNumberFormat="1" applyFont="1"/>
    <xf numFmtId="43" fontId="44" fillId="0" borderId="0" xfId="2" applyFont="1"/>
    <xf numFmtId="0" fontId="0" fillId="0" borderId="8" xfId="0" applyBorder="1"/>
    <xf numFmtId="165" fontId="0" fillId="4" borderId="22" xfId="1" applyNumberFormat="1" applyFont="1" applyFill="1" applyBorder="1"/>
    <xf numFmtId="0" fontId="0" fillId="0" borderId="10" xfId="0" applyBorder="1"/>
    <xf numFmtId="165" fontId="0" fillId="4" borderId="0" xfId="1" applyNumberFormat="1" applyFont="1" applyFill="1" applyBorder="1"/>
    <xf numFmtId="0" fontId="0" fillId="0" borderId="12" xfId="0" applyBorder="1"/>
    <xf numFmtId="165" fontId="0" fillId="4" borderId="1" xfId="1" applyNumberFormat="1" applyFont="1" applyFill="1" applyBorder="1"/>
    <xf numFmtId="0" fontId="1" fillId="0" borderId="0" xfId="0" quotePrefix="1" applyFont="1"/>
    <xf numFmtId="44" fontId="0" fillId="4" borderId="9" xfId="1" applyFont="1" applyFill="1" applyBorder="1"/>
    <xf numFmtId="44" fontId="0" fillId="4" borderId="11" xfId="1" applyFont="1" applyFill="1" applyBorder="1"/>
    <xf numFmtId="44" fontId="0" fillId="4" borderId="13" xfId="1" applyFont="1" applyFill="1" applyBorder="1"/>
    <xf numFmtId="0" fontId="0" fillId="0" borderId="0" xfId="0" applyProtection="1">
      <protection locked="0"/>
    </xf>
    <xf numFmtId="44" fontId="0" fillId="0" borderId="3" xfId="1" applyFont="1" applyBorder="1" applyAlignment="1" applyProtection="1">
      <alignment shrinkToFit="1"/>
      <protection hidden="1"/>
    </xf>
    <xf numFmtId="44" fontId="0" fillId="0" borderId="16" xfId="0" applyNumberFormat="1" applyBorder="1" applyProtection="1">
      <protection hidden="1"/>
    </xf>
    <xf numFmtId="44" fontId="0" fillId="0" borderId="18" xfId="0" applyNumberFormat="1" applyBorder="1" applyProtection="1">
      <protection hidden="1"/>
    </xf>
    <xf numFmtId="44" fontId="0" fillId="0" borderId="21" xfId="0" applyNumberFormat="1" applyBorder="1" applyProtection="1">
      <protection hidden="1"/>
    </xf>
    <xf numFmtId="44" fontId="0" fillId="0" borderId="3" xfId="1" applyFont="1" applyFill="1" applyBorder="1" applyProtection="1">
      <protection hidden="1"/>
    </xf>
    <xf numFmtId="44" fontId="1" fillId="0" borderId="3" xfId="1" applyFont="1" applyFill="1" applyBorder="1" applyProtection="1">
      <protection hidden="1"/>
    </xf>
    <xf numFmtId="44" fontId="0" fillId="0" borderId="26" xfId="1" applyFont="1" applyFill="1" applyBorder="1" applyProtection="1">
      <protection hidden="1"/>
    </xf>
    <xf numFmtId="44" fontId="0" fillId="0" borderId="3" xfId="0" applyNumberFormat="1" applyBorder="1" applyProtection="1">
      <protection hidden="1"/>
    </xf>
    <xf numFmtId="44" fontId="1" fillId="0" borderId="9" xfId="1" applyFont="1" applyBorder="1" applyProtection="1">
      <protection hidden="1"/>
    </xf>
    <xf numFmtId="44" fontId="1" fillId="0" borderId="11" xfId="1" applyFont="1" applyBorder="1" applyProtection="1">
      <protection hidden="1"/>
    </xf>
    <xf numFmtId="44" fontId="1" fillId="0" borderId="13" xfId="0" applyNumberFormat="1" applyFont="1" applyBorder="1" applyProtection="1">
      <protection hidden="1"/>
    </xf>
    <xf numFmtId="165" fontId="0" fillId="0" borderId="16" xfId="1" applyNumberFormat="1" applyFont="1" applyBorder="1" applyAlignment="1" applyProtection="1">
      <alignment horizontal="center"/>
      <protection hidden="1"/>
    </xf>
    <xf numFmtId="165" fontId="0" fillId="0" borderId="18" xfId="1" applyNumberFormat="1" applyFont="1" applyBorder="1" applyAlignment="1" applyProtection="1">
      <alignment horizontal="center"/>
      <protection hidden="1"/>
    </xf>
    <xf numFmtId="165" fontId="0" fillId="0" borderId="3" xfId="1" applyNumberFormat="1" applyFont="1" applyBorder="1" applyAlignment="1" applyProtection="1">
      <alignment horizontal="center"/>
      <protection hidden="1"/>
    </xf>
    <xf numFmtId="165" fontId="0" fillId="0" borderId="53" xfId="1" applyNumberFormat="1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Protection="1">
      <protection hidden="1"/>
    </xf>
    <xf numFmtId="7" fontId="0" fillId="0" borderId="0" xfId="1" applyNumberFormat="1" applyFont="1" applyAlignment="1" applyProtection="1">
      <alignment horizontal="center"/>
      <protection hidden="1"/>
    </xf>
    <xf numFmtId="7" fontId="1" fillId="0" borderId="0" xfId="1" applyNumberFormat="1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0" xfId="0" applyBorder="1" applyAlignment="1" applyProtection="1">
      <alignment horizontal="center"/>
      <protection hidden="1"/>
    </xf>
    <xf numFmtId="167" fontId="0" fillId="0" borderId="30" xfId="0" applyNumberForma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7" fontId="34" fillId="0" borderId="0" xfId="0" applyNumberFormat="1" applyFont="1" applyProtection="1">
      <protection hidden="1"/>
    </xf>
    <xf numFmtId="7" fontId="1" fillId="0" borderId="0" xfId="0" applyNumberFormat="1" applyFont="1" applyProtection="1">
      <protection hidden="1"/>
    </xf>
    <xf numFmtId="7" fontId="0" fillId="0" borderId="0" xfId="0" applyNumberFormat="1" applyProtection="1">
      <protection hidden="1"/>
    </xf>
    <xf numFmtId="43" fontId="0" fillId="0" borderId="0" xfId="2" applyFont="1" applyFill="1" applyBorder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65" fontId="0" fillId="0" borderId="0" xfId="1" applyNumberFormat="1" applyFont="1" applyBorder="1" applyAlignment="1" applyProtection="1">
      <alignment horizontal="center"/>
      <protection hidden="1"/>
    </xf>
    <xf numFmtId="0" fontId="36" fillId="18" borderId="0" xfId="0" applyFont="1" applyFill="1" applyAlignment="1" applyProtection="1">
      <alignment shrinkToFit="1"/>
      <protection hidden="1"/>
    </xf>
    <xf numFmtId="0" fontId="36" fillId="18" borderId="0" xfId="0" applyFont="1" applyFill="1" applyProtection="1">
      <protection hidden="1"/>
    </xf>
    <xf numFmtId="0" fontId="35" fillId="18" borderId="0" xfId="0" applyFont="1" applyFill="1" applyAlignment="1" applyProtection="1">
      <alignment horizontal="center" vertical="center" textRotation="90" wrapText="1"/>
      <protection hidden="1"/>
    </xf>
    <xf numFmtId="44" fontId="36" fillId="18" borderId="0" xfId="1" applyFont="1" applyFill="1" applyProtection="1">
      <protection hidden="1"/>
    </xf>
    <xf numFmtId="0" fontId="7" fillId="18" borderId="0" xfId="0" applyFont="1" applyFill="1" applyProtection="1">
      <protection hidden="1"/>
    </xf>
    <xf numFmtId="0" fontId="10" fillId="18" borderId="0" xfId="0" applyFont="1" applyFill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44" fontId="14" fillId="0" borderId="0" xfId="1" applyFont="1" applyFill="1" applyBorder="1" applyProtection="1">
      <protection hidden="1"/>
    </xf>
    <xf numFmtId="0" fontId="6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9" fillId="6" borderId="0" xfId="0" applyFont="1" applyFill="1" applyProtection="1">
      <protection hidden="1"/>
    </xf>
    <xf numFmtId="0" fontId="10" fillId="6" borderId="0" xfId="0" applyFont="1" applyFill="1" applyAlignment="1" applyProtection="1">
      <alignment shrinkToFit="1"/>
      <protection hidden="1"/>
    </xf>
    <xf numFmtId="0" fontId="10" fillId="6" borderId="0" xfId="0" applyFont="1" applyFill="1" applyProtection="1">
      <protection hidden="1"/>
    </xf>
    <xf numFmtId="22" fontId="48" fillId="15" borderId="0" xfId="0" applyNumberFormat="1" applyFont="1" applyFill="1"/>
    <xf numFmtId="44" fontId="0" fillId="4" borderId="3" xfId="1" applyFont="1" applyFill="1" applyBorder="1" applyAlignment="1" applyProtection="1">
      <alignment shrinkToFit="1"/>
      <protection locked="0" hidden="1"/>
    </xf>
    <xf numFmtId="0" fontId="0" fillId="13" borderId="30" xfId="0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49" fillId="0" borderId="0" xfId="0" applyFont="1"/>
    <xf numFmtId="0" fontId="50" fillId="0" borderId="0" xfId="0" applyFont="1" applyAlignment="1">
      <alignment horizontal="center" vertical="center" wrapText="1"/>
    </xf>
    <xf numFmtId="0" fontId="10" fillId="0" borderId="22" xfId="0" applyFont="1" applyBorder="1"/>
    <xf numFmtId="0" fontId="10" fillId="0" borderId="1" xfId="0" applyFont="1" applyBorder="1"/>
    <xf numFmtId="164" fontId="10" fillId="4" borderId="22" xfId="1" applyNumberFormat="1" applyFont="1" applyFill="1" applyBorder="1"/>
    <xf numFmtId="164" fontId="10" fillId="4" borderId="0" xfId="1" applyNumberFormat="1" applyFont="1" applyFill="1" applyBorder="1"/>
    <xf numFmtId="164" fontId="10" fillId="4" borderId="1" xfId="1" applyNumberFormat="1" applyFont="1" applyFill="1" applyBorder="1"/>
    <xf numFmtId="0" fontId="9" fillId="0" borderId="22" xfId="0" applyFont="1" applyBorder="1"/>
    <xf numFmtId="0" fontId="40" fillId="0" borderId="1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" fontId="9" fillId="0" borderId="0" xfId="0" quotePrefix="1" applyNumberFormat="1" applyFont="1"/>
    <xf numFmtId="44" fontId="10" fillId="4" borderId="0" xfId="1" applyFont="1" applyFill="1"/>
    <xf numFmtId="43" fontId="51" fillId="0" borderId="0" xfId="2" applyFont="1" applyFill="1" applyBorder="1" applyAlignment="1" applyProtection="1">
      <alignment horizontal="left"/>
    </xf>
    <xf numFmtId="0" fontId="9" fillId="0" borderId="0" xfId="0" quotePrefix="1" applyFont="1"/>
    <xf numFmtId="165" fontId="0" fillId="4" borderId="22" xfId="1" applyNumberFormat="1" applyFont="1" applyFill="1" applyBorder="1" applyAlignment="1">
      <alignment horizontal="center"/>
    </xf>
    <xf numFmtId="165" fontId="10" fillId="19" borderId="9" xfId="0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165" fontId="10" fillId="19" borderId="11" xfId="0" applyNumberFormat="1" applyFont="1" applyFill="1" applyBorder="1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165" fontId="10" fillId="19" borderId="13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9" fillId="24" borderId="0" xfId="0" applyFont="1" applyFill="1"/>
    <xf numFmtId="0" fontId="49" fillId="0" borderId="0" xfId="0" applyFont="1" applyAlignment="1">
      <alignment wrapText="1"/>
    </xf>
    <xf numFmtId="0" fontId="1" fillId="5" borderId="0" xfId="0" applyFont="1" applyFill="1" applyAlignment="1">
      <alignment horizontal="center" textRotation="90" wrapText="1"/>
    </xf>
    <xf numFmtId="0" fontId="1" fillId="4" borderId="0" xfId="0" applyFont="1" applyFill="1" applyAlignment="1">
      <alignment horizontal="center" vertical="center" textRotation="90" wrapText="1"/>
    </xf>
    <xf numFmtId="0" fontId="0" fillId="13" borderId="3" xfId="1" applyNumberFormat="1" applyFont="1" applyFill="1" applyBorder="1" applyAlignment="1" applyProtection="1">
      <alignment horizontal="left"/>
      <protection locked="0"/>
    </xf>
    <xf numFmtId="0" fontId="0" fillId="4" borderId="3" xfId="1" applyNumberFormat="1" applyFont="1" applyFill="1" applyBorder="1" applyAlignment="1" applyProtection="1">
      <alignment horizontal="left"/>
      <protection locked="0"/>
    </xf>
    <xf numFmtId="0" fontId="0" fillId="22" borderId="0" xfId="0" applyFill="1"/>
    <xf numFmtId="0" fontId="0" fillId="0" borderId="30" xfId="0" applyBorder="1"/>
    <xf numFmtId="168" fontId="1" fillId="0" borderId="11" xfId="0" applyNumberFormat="1" applyFont="1" applyBorder="1" applyAlignment="1">
      <alignment horizontal="center"/>
    </xf>
    <xf numFmtId="168" fontId="1" fillId="14" borderId="13" xfId="0" applyNumberFormat="1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 shrinkToFit="1"/>
      <protection locked="0"/>
    </xf>
    <xf numFmtId="0" fontId="16" fillId="14" borderId="3" xfId="0" applyFont="1" applyFill="1" applyBorder="1" applyAlignment="1" applyProtection="1">
      <alignment horizontal="left" shrinkToFit="1"/>
      <protection locked="0"/>
    </xf>
    <xf numFmtId="0" fontId="16" fillId="4" borderId="3" xfId="0" applyFont="1" applyFill="1" applyBorder="1" applyAlignment="1" applyProtection="1">
      <alignment horizontal="left" shrinkToFit="1"/>
      <protection locked="0"/>
    </xf>
    <xf numFmtId="9" fontId="37" fillId="0" borderId="22" xfId="3" applyFont="1" applyFill="1" applyBorder="1" applyAlignment="1">
      <alignment vertical="center"/>
    </xf>
    <xf numFmtId="7" fontId="0" fillId="0" borderId="0" xfId="0" applyNumberFormat="1"/>
    <xf numFmtId="0" fontId="0" fillId="4" borderId="17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4" borderId="19" xfId="0" applyFill="1" applyBorder="1" applyProtection="1">
      <protection locked="0"/>
    </xf>
    <xf numFmtId="0" fontId="0" fillId="4" borderId="20" xfId="0" applyFill="1" applyBorder="1" applyProtection="1">
      <protection locked="0"/>
    </xf>
    <xf numFmtId="0" fontId="0" fillId="4" borderId="20" xfId="0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15" borderId="37" xfId="0" applyFill="1" applyBorder="1" applyAlignment="1" applyProtection="1">
      <alignment shrinkToFit="1"/>
      <protection locked="0"/>
    </xf>
    <xf numFmtId="0" fontId="26" fillId="15" borderId="8" xfId="0" applyFont="1" applyFill="1" applyBorder="1" applyProtection="1">
      <protection locked="0"/>
    </xf>
    <xf numFmtId="0" fontId="26" fillId="15" borderId="22" xfId="0" applyFont="1" applyFill="1" applyBorder="1" applyProtection="1">
      <protection locked="0"/>
    </xf>
    <xf numFmtId="0" fontId="26" fillId="15" borderId="22" xfId="0" applyFont="1" applyFill="1" applyBorder="1" applyAlignment="1" applyProtection="1">
      <alignment horizontal="center"/>
      <protection locked="0"/>
    </xf>
    <xf numFmtId="0" fontId="0" fillId="15" borderId="9" xfId="0" applyFill="1" applyBorder="1" applyProtection="1">
      <protection locked="0"/>
    </xf>
    <xf numFmtId="0" fontId="0" fillId="15" borderId="0" xfId="0" applyFill="1" applyProtection="1">
      <protection locked="0"/>
    </xf>
    <xf numFmtId="0" fontId="16" fillId="15" borderId="10" xfId="0" applyFont="1" applyFill="1" applyBorder="1" applyProtection="1">
      <protection locked="0"/>
    </xf>
    <xf numFmtId="0" fontId="16" fillId="15" borderId="0" xfId="0" applyFont="1" applyFill="1" applyProtection="1">
      <protection locked="0"/>
    </xf>
    <xf numFmtId="0" fontId="16" fillId="15" borderId="0" xfId="0" applyFont="1" applyFill="1" applyAlignment="1" applyProtection="1">
      <alignment horizontal="center"/>
      <protection locked="0"/>
    </xf>
    <xf numFmtId="0" fontId="0" fillId="15" borderId="11" xfId="0" applyFill="1" applyBorder="1" applyProtection="1">
      <protection locked="0"/>
    </xf>
    <xf numFmtId="0" fontId="26" fillId="15" borderId="0" xfId="0" applyFont="1" applyFill="1" applyProtection="1">
      <protection locked="0"/>
    </xf>
    <xf numFmtId="0" fontId="19" fillId="15" borderId="0" xfId="0" applyFont="1" applyFill="1" applyAlignment="1" applyProtection="1">
      <alignment horizontal="centerContinuous"/>
      <protection locked="0"/>
    </xf>
    <xf numFmtId="22" fontId="48" fillId="15" borderId="0" xfId="0" applyNumberFormat="1" applyFont="1" applyFill="1" applyProtection="1">
      <protection locked="0"/>
    </xf>
    <xf numFmtId="0" fontId="16" fillId="15" borderId="11" xfId="0" applyFont="1" applyFill="1" applyBorder="1" applyProtection="1">
      <protection locked="0"/>
    </xf>
    <xf numFmtId="0" fontId="25" fillId="17" borderId="17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 wrapText="1"/>
      <protection locked="0"/>
    </xf>
    <xf numFmtId="0" fontId="19" fillId="17" borderId="45" xfId="0" applyFont="1" applyFill="1" applyBorder="1" applyAlignment="1" applyProtection="1">
      <alignment horizontal="center"/>
      <protection locked="0"/>
    </xf>
    <xf numFmtId="0" fontId="19" fillId="17" borderId="4" xfId="0" applyFont="1" applyFill="1" applyBorder="1" applyAlignment="1" applyProtection="1">
      <alignment horizontal="center"/>
      <protection locked="0"/>
    </xf>
    <xf numFmtId="0" fontId="23" fillId="17" borderId="50" xfId="0" applyFont="1" applyFill="1" applyBorder="1" applyAlignment="1" applyProtection="1">
      <alignment horizontal="center"/>
      <protection locked="0"/>
    </xf>
    <xf numFmtId="0" fontId="23" fillId="17" borderId="51" xfId="0" applyFont="1" applyFill="1" applyBorder="1" applyAlignment="1" applyProtection="1">
      <alignment horizontal="center"/>
      <protection locked="0"/>
    </xf>
    <xf numFmtId="0" fontId="23" fillId="17" borderId="52" xfId="0" applyFont="1" applyFill="1" applyBorder="1" applyAlignment="1" applyProtection="1">
      <alignment horizontal="center"/>
      <protection locked="0"/>
    </xf>
    <xf numFmtId="0" fontId="23" fillId="17" borderId="30" xfId="0" applyFont="1" applyFill="1" applyBorder="1" applyAlignment="1" applyProtection="1">
      <alignment horizontal="center"/>
      <protection locked="0"/>
    </xf>
    <xf numFmtId="0" fontId="0" fillId="15" borderId="38" xfId="0" applyFill="1" applyBorder="1" applyAlignment="1" applyProtection="1">
      <alignment horizontal="center"/>
      <protection locked="0"/>
    </xf>
    <xf numFmtId="0" fontId="1" fillId="16" borderId="17" xfId="0" applyFont="1" applyFill="1" applyBorder="1" applyAlignment="1" applyProtection="1">
      <alignment horizontal="center"/>
      <protection locked="0"/>
    </xf>
    <xf numFmtId="0" fontId="1" fillId="16" borderId="3" xfId="0" applyFont="1" applyFill="1" applyBorder="1" applyAlignment="1" applyProtection="1">
      <alignment horizontal="center"/>
      <protection locked="0"/>
    </xf>
    <xf numFmtId="0" fontId="16" fillId="0" borderId="37" xfId="0" applyFont="1" applyBorder="1" applyProtection="1">
      <protection locked="0"/>
    </xf>
    <xf numFmtId="0" fontId="16" fillId="0" borderId="1" xfId="0" applyFont="1" applyBorder="1" applyProtection="1">
      <protection locked="0"/>
    </xf>
    <xf numFmtId="0" fontId="16" fillId="0" borderId="13" xfId="0" applyFont="1" applyBorder="1" applyProtection="1">
      <protection locked="0"/>
    </xf>
    <xf numFmtId="0" fontId="0" fillId="15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4" xfId="0" applyBorder="1" applyProtection="1">
      <protection hidden="1"/>
    </xf>
    <xf numFmtId="0" fontId="0" fillId="0" borderId="3" xfId="0" applyBorder="1" applyAlignment="1" applyProtection="1">
      <alignment shrinkToFit="1"/>
      <protection hidden="1"/>
    </xf>
    <xf numFmtId="0" fontId="0" fillId="0" borderId="17" xfId="0" applyBorder="1" applyProtection="1">
      <protection hidden="1"/>
    </xf>
    <xf numFmtId="0" fontId="1" fillId="15" borderId="28" xfId="0" applyFont="1" applyFill="1" applyBorder="1" applyAlignment="1" applyProtection="1">
      <alignment horizontal="center"/>
      <protection hidden="1"/>
    </xf>
    <xf numFmtId="0" fontId="22" fillId="4" borderId="44" xfId="0" applyFont="1" applyFill="1" applyBorder="1" applyAlignment="1" applyProtection="1">
      <alignment horizontal="center"/>
      <protection hidden="1"/>
    </xf>
    <xf numFmtId="7" fontId="52" fillId="0" borderId="29" xfId="0" applyNumberFormat="1" applyFont="1" applyBorder="1" applyAlignment="1" applyProtection="1">
      <alignment horizontal="right"/>
      <protection locked="0"/>
    </xf>
    <xf numFmtId="41" fontId="0" fillId="0" borderId="15" xfId="0" applyNumberFormat="1" applyBorder="1" applyProtection="1">
      <protection hidden="1"/>
    </xf>
    <xf numFmtId="41" fontId="0" fillId="0" borderId="3" xfId="0" applyNumberFormat="1" applyBorder="1" applyProtection="1">
      <protection hidden="1"/>
    </xf>
    <xf numFmtId="41" fontId="0" fillId="0" borderId="16" xfId="0" applyNumberFormat="1" applyBorder="1" applyAlignment="1" applyProtection="1">
      <alignment horizontal="center"/>
      <protection hidden="1"/>
    </xf>
    <xf numFmtId="41" fontId="0" fillId="0" borderId="18" xfId="0" applyNumberFormat="1" applyBorder="1" applyAlignment="1" applyProtection="1">
      <alignment horizontal="center"/>
      <protection hidden="1"/>
    </xf>
    <xf numFmtId="0" fontId="14" fillId="15" borderId="0" xfId="0" applyFont="1" applyFill="1" applyProtection="1">
      <protection locked="0"/>
    </xf>
    <xf numFmtId="0" fontId="46" fillId="0" borderId="0" xfId="0" applyFont="1" applyAlignment="1">
      <alignment horizontal="center" vertical="center" textRotation="90" wrapText="1"/>
    </xf>
    <xf numFmtId="44" fontId="15" fillId="0" borderId="0" xfId="0" applyNumberFormat="1" applyFont="1" applyAlignment="1">
      <alignment vertical="center"/>
    </xf>
    <xf numFmtId="0" fontId="0" fillId="0" borderId="3" xfId="0" applyBorder="1" applyAlignment="1" applyProtection="1">
      <alignment horizontal="center"/>
      <protection locked="0"/>
    </xf>
    <xf numFmtId="0" fontId="8" fillId="18" borderId="0" xfId="0" applyFont="1" applyFill="1" applyAlignment="1">
      <alignment horizontal="center" vertical="center" wrapText="1"/>
    </xf>
    <xf numFmtId="0" fontId="3" fillId="22" borderId="3" xfId="0" applyFont="1" applyFill="1" applyBorder="1"/>
    <xf numFmtId="0" fontId="1" fillId="0" borderId="2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14" fillId="18" borderId="0" xfId="0" applyFont="1" applyFill="1" applyAlignment="1" applyProtection="1">
      <alignment shrinkToFit="1"/>
      <protection hidden="1"/>
    </xf>
    <xf numFmtId="0" fontId="14" fillId="18" borderId="0" xfId="0" applyFont="1" applyFill="1" applyProtection="1">
      <protection hidden="1"/>
    </xf>
    <xf numFmtId="41" fontId="1" fillId="15" borderId="28" xfId="0" applyNumberFormat="1" applyFont="1" applyFill="1" applyBorder="1" applyAlignment="1" applyProtection="1">
      <alignment horizontal="center"/>
      <protection hidden="1"/>
    </xf>
    <xf numFmtId="0" fontId="0" fillId="15" borderId="0" xfId="0" applyFill="1" applyProtection="1">
      <protection hidden="1"/>
    </xf>
    <xf numFmtId="0" fontId="26" fillId="15" borderId="8" xfId="0" applyFont="1" applyFill="1" applyBorder="1" applyProtection="1">
      <protection hidden="1"/>
    </xf>
    <xf numFmtId="0" fontId="26" fillId="15" borderId="22" xfId="0" applyFont="1" applyFill="1" applyBorder="1" applyProtection="1">
      <protection hidden="1"/>
    </xf>
    <xf numFmtId="0" fontId="26" fillId="15" borderId="22" xfId="0" applyFont="1" applyFill="1" applyBorder="1" applyAlignment="1" applyProtection="1">
      <alignment horizontal="center"/>
      <protection hidden="1"/>
    </xf>
    <xf numFmtId="0" fontId="16" fillId="15" borderId="10" xfId="0" applyFont="1" applyFill="1" applyBorder="1" applyProtection="1">
      <protection hidden="1"/>
    </xf>
    <xf numFmtId="0" fontId="16" fillId="15" borderId="0" xfId="0" applyFont="1" applyFill="1" applyProtection="1">
      <protection hidden="1"/>
    </xf>
    <xf numFmtId="0" fontId="16" fillId="15" borderId="0" xfId="0" applyFont="1" applyFill="1" applyAlignment="1" applyProtection="1">
      <alignment horizontal="center"/>
      <protection hidden="1"/>
    </xf>
    <xf numFmtId="0" fontId="25" fillId="17" borderId="17" xfId="0" applyFont="1" applyFill="1" applyBorder="1" applyAlignment="1" applyProtection="1">
      <alignment horizontal="center"/>
      <protection hidden="1"/>
    </xf>
    <xf numFmtId="0" fontId="19" fillId="17" borderId="29" xfId="0" applyFont="1" applyFill="1" applyBorder="1" applyAlignment="1" applyProtection="1">
      <alignment horizontal="center" wrapText="1"/>
      <protection hidden="1"/>
    </xf>
    <xf numFmtId="0" fontId="19" fillId="17" borderId="45" xfId="0" applyFont="1" applyFill="1" applyBorder="1" applyAlignment="1" applyProtection="1">
      <alignment horizontal="center"/>
      <protection hidden="1"/>
    </xf>
    <xf numFmtId="0" fontId="19" fillId="17" borderId="4" xfId="0" applyFont="1" applyFill="1" applyBorder="1" applyAlignment="1" applyProtection="1">
      <alignment horizontal="center"/>
      <protection hidden="1"/>
    </xf>
    <xf numFmtId="0" fontId="22" fillId="0" borderId="17" xfId="0" applyFont="1" applyBorder="1" applyAlignment="1" applyProtection="1">
      <alignment horizontal="centerContinuous"/>
      <protection hidden="1"/>
    </xf>
    <xf numFmtId="7" fontId="52" fillId="0" borderId="29" xfId="0" applyNumberFormat="1" applyFont="1" applyBorder="1" applyAlignment="1" applyProtection="1">
      <alignment horizontal="center"/>
      <protection hidden="1"/>
    </xf>
    <xf numFmtId="0" fontId="23" fillId="17" borderId="50" xfId="0" applyFont="1" applyFill="1" applyBorder="1" applyAlignment="1" applyProtection="1">
      <alignment horizontal="center"/>
      <protection hidden="1"/>
    </xf>
    <xf numFmtId="0" fontId="23" fillId="17" borderId="51" xfId="0" applyFont="1" applyFill="1" applyBorder="1" applyAlignment="1" applyProtection="1">
      <alignment horizontal="center"/>
      <protection hidden="1"/>
    </xf>
    <xf numFmtId="0" fontId="23" fillId="17" borderId="52" xfId="0" applyFont="1" applyFill="1" applyBorder="1" applyAlignment="1" applyProtection="1">
      <alignment horizontal="center"/>
      <protection hidden="1"/>
    </xf>
    <xf numFmtId="0" fontId="23" fillId="17" borderId="30" xfId="0" applyFont="1" applyFill="1" applyBorder="1" applyAlignment="1" applyProtection="1">
      <alignment horizontal="center"/>
      <protection hidden="1"/>
    </xf>
    <xf numFmtId="0" fontId="19" fillId="17" borderId="14" xfId="0" applyFont="1" applyFill="1" applyBorder="1" applyAlignment="1" applyProtection="1">
      <alignment horizontal="center" vertical="center"/>
      <protection hidden="1"/>
    </xf>
    <xf numFmtId="0" fontId="0" fillId="15" borderId="37" xfId="0" applyFill="1" applyBorder="1" applyAlignment="1" applyProtection="1">
      <alignment shrinkToFit="1"/>
      <protection hidden="1"/>
    </xf>
    <xf numFmtId="0" fontId="0" fillId="15" borderId="38" xfId="0" applyFill="1" applyBorder="1" applyAlignment="1" applyProtection="1">
      <alignment horizontal="center"/>
      <protection hidden="1"/>
    </xf>
    <xf numFmtId="0" fontId="21" fillId="17" borderId="27" xfId="0" applyFont="1" applyFill="1" applyBorder="1" applyAlignment="1" applyProtection="1">
      <alignment horizontal="center" vertical="center"/>
      <protection hidden="1"/>
    </xf>
    <xf numFmtId="0" fontId="1" fillId="16" borderId="17" xfId="0" applyFont="1" applyFill="1" applyBorder="1" applyAlignment="1" applyProtection="1">
      <alignment horizontal="center"/>
      <protection hidden="1"/>
    </xf>
    <xf numFmtId="0" fontId="1" fillId="16" borderId="3" xfId="0" applyFont="1" applyFill="1" applyBorder="1" applyAlignment="1" applyProtection="1">
      <alignment horizontal="center"/>
      <protection hidden="1"/>
    </xf>
    <xf numFmtId="0" fontId="0" fillId="4" borderId="17" xfId="0" applyFill="1" applyBorder="1" applyProtection="1">
      <protection hidden="1"/>
    </xf>
    <xf numFmtId="0" fontId="0" fillId="4" borderId="3" xfId="0" applyFill="1" applyBorder="1" applyProtection="1">
      <protection hidden="1"/>
    </xf>
    <xf numFmtId="0" fontId="0" fillId="4" borderId="3" xfId="0" applyFill="1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0" fillId="15" borderId="9" xfId="0" applyFill="1" applyBorder="1" applyProtection="1">
      <protection hidden="1"/>
    </xf>
    <xf numFmtId="0" fontId="0" fillId="15" borderId="11" xfId="0" applyFill="1" applyBorder="1" applyProtection="1">
      <protection hidden="1"/>
    </xf>
    <xf numFmtId="0" fontId="26" fillId="15" borderId="0" xfId="0" applyFont="1" applyFill="1" applyProtection="1">
      <protection hidden="1"/>
    </xf>
    <xf numFmtId="0" fontId="19" fillId="15" borderId="0" xfId="0" applyFont="1" applyFill="1" applyAlignment="1" applyProtection="1">
      <alignment horizontal="centerContinuous"/>
      <protection hidden="1"/>
    </xf>
    <xf numFmtId="22" fontId="48" fillId="15" borderId="0" xfId="0" applyNumberFormat="1" applyFont="1" applyFill="1" applyProtection="1">
      <protection hidden="1"/>
    </xf>
    <xf numFmtId="0" fontId="16" fillId="15" borderId="11" xfId="0" applyFont="1" applyFill="1" applyBorder="1" applyProtection="1">
      <protection hidden="1"/>
    </xf>
    <xf numFmtId="169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7" fontId="0" fillId="25" borderId="3" xfId="0" applyNumberFormat="1" applyFill="1" applyBorder="1" applyAlignment="1">
      <alignment horizontal="center"/>
    </xf>
    <xf numFmtId="169" fontId="0" fillId="25" borderId="3" xfId="0" applyNumberFormat="1" applyFill="1" applyBorder="1" applyAlignment="1">
      <alignment horizontal="center"/>
    </xf>
    <xf numFmtId="0" fontId="19" fillId="17" borderId="40" xfId="0" applyFont="1" applyFill="1" applyBorder="1" applyAlignment="1" applyProtection="1">
      <alignment horizontal="center"/>
      <protection hidden="1"/>
    </xf>
    <xf numFmtId="0" fontId="19" fillId="17" borderId="36" xfId="0" applyFont="1" applyFill="1" applyBorder="1" applyAlignment="1" applyProtection="1">
      <alignment horizontal="center"/>
      <protection hidden="1"/>
    </xf>
    <xf numFmtId="0" fontId="19" fillId="17" borderId="26" xfId="0" applyFont="1" applyFill="1" applyBorder="1" applyAlignment="1" applyProtection="1">
      <alignment horizontal="center"/>
      <protection hidden="1"/>
    </xf>
    <xf numFmtId="0" fontId="16" fillId="0" borderId="33" xfId="0" applyFont="1" applyBorder="1" applyAlignment="1" applyProtection="1">
      <alignment horizontal="center"/>
      <protection locked="0"/>
    </xf>
    <xf numFmtId="0" fontId="16" fillId="0" borderId="31" xfId="0" applyFont="1" applyBorder="1" applyAlignment="1" applyProtection="1">
      <alignment horizontal="center"/>
      <protection locked="0"/>
    </xf>
    <xf numFmtId="0" fontId="16" fillId="0" borderId="34" xfId="0" applyFont="1" applyBorder="1" applyAlignment="1" applyProtection="1">
      <alignment horizontal="center"/>
      <protection locked="0"/>
    </xf>
    <xf numFmtId="0" fontId="16" fillId="0" borderId="39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37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38" xfId="0" applyFont="1" applyBorder="1" applyAlignment="1" applyProtection="1">
      <alignment horizontal="center"/>
      <protection locked="0"/>
    </xf>
    <xf numFmtId="0" fontId="18" fillId="0" borderId="39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1" xfId="0" applyFon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9" fillId="17" borderId="31" xfId="0" applyFont="1" applyFill="1" applyBorder="1" applyAlignment="1" applyProtection="1">
      <alignment horizontal="left"/>
      <protection locked="0"/>
    </xf>
    <xf numFmtId="0" fontId="16" fillId="15" borderId="3" xfId="0" applyFont="1" applyFill="1" applyBorder="1" applyAlignment="1" applyProtection="1">
      <alignment horizontal="center"/>
      <protection locked="0"/>
    </xf>
    <xf numFmtId="0" fontId="16" fillId="15" borderId="18" xfId="0" applyFont="1" applyFill="1" applyBorder="1" applyAlignment="1" applyProtection="1">
      <alignment horizontal="center"/>
      <protection locked="0"/>
    </xf>
    <xf numFmtId="0" fontId="19" fillId="17" borderId="0" xfId="0" applyFont="1" applyFill="1" applyAlignment="1" applyProtection="1">
      <alignment horizontal="right"/>
      <protection locked="0"/>
    </xf>
    <xf numFmtId="0" fontId="20" fillId="15" borderId="3" xfId="0" applyFont="1" applyFill="1" applyBorder="1" applyAlignment="1" applyProtection="1">
      <alignment horizontal="center"/>
      <protection locked="0"/>
    </xf>
    <xf numFmtId="0" fontId="20" fillId="15" borderId="18" xfId="0" applyFont="1" applyFill="1" applyBorder="1" applyAlignment="1" applyProtection="1">
      <alignment horizontal="center"/>
      <protection locked="0"/>
    </xf>
    <xf numFmtId="0" fontId="20" fillId="15" borderId="29" xfId="0" applyFont="1" applyFill="1" applyBorder="1" applyAlignment="1" applyProtection="1">
      <alignment horizontal="center"/>
      <protection locked="0"/>
    </xf>
    <xf numFmtId="0" fontId="20" fillId="15" borderId="36" xfId="0" applyFont="1" applyFill="1" applyBorder="1" applyAlignment="1" applyProtection="1">
      <alignment horizontal="center"/>
      <protection locked="0"/>
    </xf>
    <xf numFmtId="0" fontId="20" fillId="15" borderId="41" xfId="0" applyFont="1" applyFill="1" applyBorder="1" applyAlignment="1" applyProtection="1">
      <alignment horizontal="center"/>
      <protection locked="0"/>
    </xf>
    <xf numFmtId="0" fontId="19" fillId="17" borderId="36" xfId="0" applyFont="1" applyFill="1" applyBorder="1" applyAlignment="1" applyProtection="1">
      <alignment horizontal="center"/>
      <protection locked="0"/>
    </xf>
    <xf numFmtId="0" fontId="19" fillId="17" borderId="26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/>
      <protection locked="0"/>
    </xf>
    <xf numFmtId="0" fontId="19" fillId="17" borderId="41" xfId="0" applyFont="1" applyFill="1" applyBorder="1" applyAlignment="1" applyProtection="1">
      <alignment horizontal="center"/>
      <protection locked="0"/>
    </xf>
    <xf numFmtId="0" fontId="27" fillId="4" borderId="17" xfId="0" applyFont="1" applyFill="1" applyBorder="1" applyAlignment="1" applyProtection="1">
      <alignment horizontal="center" vertical="center" wrapText="1"/>
      <protection hidden="1"/>
    </xf>
    <xf numFmtId="0" fontId="27" fillId="4" borderId="3" xfId="0" applyFont="1" applyFill="1" applyBorder="1" applyAlignment="1" applyProtection="1">
      <alignment horizontal="center" vertical="center" wrapText="1"/>
      <protection hidden="1"/>
    </xf>
    <xf numFmtId="0" fontId="27" fillId="4" borderId="33" xfId="0" applyFont="1" applyFill="1" applyBorder="1" applyAlignment="1" applyProtection="1">
      <alignment horizontal="center" vertical="center" wrapText="1"/>
      <protection hidden="1"/>
    </xf>
    <xf numFmtId="0" fontId="19" fillId="17" borderId="3" xfId="0" applyFont="1" applyFill="1" applyBorder="1" applyAlignment="1" applyProtection="1">
      <alignment horizontal="center"/>
      <protection hidden="1"/>
    </xf>
    <xf numFmtId="0" fontId="22" fillId="15" borderId="26" xfId="0" applyFont="1" applyFill="1" applyBorder="1" applyAlignment="1" applyProtection="1">
      <alignment horizontal="center" vertical="center" wrapText="1"/>
      <protection hidden="1"/>
    </xf>
    <xf numFmtId="0" fontId="22" fillId="15" borderId="3" xfId="0" applyFont="1" applyFill="1" applyBorder="1" applyAlignment="1" applyProtection="1">
      <alignment horizontal="center" vertical="center" wrapText="1"/>
      <protection hidden="1"/>
    </xf>
    <xf numFmtId="0" fontId="22" fillId="15" borderId="34" xfId="0" applyFont="1" applyFill="1" applyBorder="1" applyAlignment="1" applyProtection="1">
      <alignment horizontal="center" vertical="center" wrapText="1"/>
      <protection hidden="1"/>
    </xf>
    <xf numFmtId="0" fontId="24" fillId="0" borderId="43" xfId="0" applyFont="1" applyBorder="1" applyAlignment="1" applyProtection="1">
      <alignment horizontal="center" vertical="center"/>
      <protection hidden="1"/>
    </xf>
    <xf numFmtId="0" fontId="23" fillId="17" borderId="17" xfId="0" applyFont="1" applyFill="1" applyBorder="1" applyAlignment="1" applyProtection="1">
      <alignment horizontal="center"/>
      <protection hidden="1"/>
    </xf>
    <xf numFmtId="0" fontId="23" fillId="17" borderId="29" xfId="0" applyFont="1" applyFill="1" applyBorder="1" applyAlignment="1" applyProtection="1">
      <alignment horizontal="center"/>
      <protection hidden="1"/>
    </xf>
    <xf numFmtId="0" fontId="23" fillId="17" borderId="8" xfId="0" applyFont="1" applyFill="1" applyBorder="1" applyAlignment="1" applyProtection="1">
      <alignment horizontal="center"/>
      <protection hidden="1"/>
    </xf>
    <xf numFmtId="0" fontId="23" fillId="17" borderId="42" xfId="0" applyFont="1" applyFill="1" applyBorder="1" applyAlignment="1" applyProtection="1">
      <alignment horizontal="center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23" fillId="0" borderId="32" xfId="0" applyFont="1" applyBorder="1" applyAlignment="1" applyProtection="1">
      <alignment horizontal="center"/>
      <protection hidden="1"/>
    </xf>
    <xf numFmtId="0" fontId="23" fillId="0" borderId="33" xfId="0" applyFont="1" applyBorder="1" applyAlignment="1" applyProtection="1">
      <alignment horizontal="center"/>
      <protection hidden="1"/>
    </xf>
    <xf numFmtId="7" fontId="22" fillId="4" borderId="8" xfId="0" applyNumberFormat="1" applyFont="1" applyFill="1" applyBorder="1" applyAlignment="1" applyProtection="1">
      <alignment horizontal="center"/>
      <protection hidden="1"/>
    </xf>
    <xf numFmtId="0" fontId="22" fillId="4" borderId="9" xfId="0" applyFont="1" applyFill="1" applyBorder="1" applyAlignment="1" applyProtection="1">
      <alignment horizontal="center"/>
      <protection hidden="1"/>
    </xf>
    <xf numFmtId="0" fontId="53" fillId="0" borderId="22" xfId="0" applyFont="1" applyBorder="1" applyAlignment="1" applyProtection="1">
      <alignment horizontal="center"/>
      <protection locked="0"/>
    </xf>
    <xf numFmtId="0" fontId="53" fillId="0" borderId="9" xfId="0" applyFont="1" applyBorder="1" applyAlignment="1" applyProtection="1">
      <alignment horizontal="center"/>
      <protection locked="0"/>
    </xf>
    <xf numFmtId="0" fontId="53" fillId="0" borderId="0" xfId="0" applyFont="1" applyAlignment="1" applyProtection="1">
      <alignment horizontal="center"/>
      <protection locked="0"/>
    </xf>
    <xf numFmtId="0" fontId="53" fillId="0" borderId="11" xfId="0" applyFont="1" applyBorder="1" applyAlignment="1" applyProtection="1">
      <alignment horizontal="center"/>
      <protection locked="0"/>
    </xf>
    <xf numFmtId="0" fontId="27" fillId="15" borderId="12" xfId="0" applyFont="1" applyFill="1" applyBorder="1" applyAlignment="1" applyProtection="1">
      <alignment horizontal="center" vertical="center" wrapText="1"/>
      <protection locked="0" hidden="1"/>
    </xf>
    <xf numFmtId="0" fontId="27" fillId="15" borderId="13" xfId="0" applyFont="1" applyFill="1" applyBorder="1" applyAlignment="1" applyProtection="1">
      <alignment horizontal="center" vertical="center" wrapText="1"/>
      <protection locked="0" hidden="1"/>
    </xf>
    <xf numFmtId="0" fontId="24" fillId="17" borderId="47" xfId="0" applyFont="1" applyFill="1" applyBorder="1" applyAlignment="1" applyProtection="1">
      <alignment horizontal="center"/>
      <protection locked="0"/>
    </xf>
    <xf numFmtId="0" fontId="24" fillId="17" borderId="46" xfId="0" applyFont="1" applyFill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locked="0"/>
    </xf>
    <xf numFmtId="0" fontId="28" fillId="0" borderId="47" xfId="0" applyFont="1" applyBorder="1" applyAlignment="1" applyProtection="1">
      <alignment horizontal="center"/>
      <protection locked="0"/>
    </xf>
    <xf numFmtId="0" fontId="28" fillId="0" borderId="46" xfId="0" applyFont="1" applyBorder="1" applyAlignment="1" applyProtection="1">
      <alignment horizontal="center"/>
      <protection locked="0"/>
    </xf>
    <xf numFmtId="0" fontId="24" fillId="17" borderId="33" xfId="0" applyFont="1" applyFill="1" applyBorder="1" applyAlignment="1" applyProtection="1">
      <alignment horizontal="center"/>
      <protection locked="0"/>
    </xf>
    <xf numFmtId="0" fontId="24" fillId="17" borderId="34" xfId="0" applyFont="1" applyFill="1" applyBorder="1" applyAlignment="1" applyProtection="1">
      <alignment horizontal="center"/>
      <protection locked="0"/>
    </xf>
    <xf numFmtId="0" fontId="28" fillId="0" borderId="33" xfId="0" applyFont="1" applyBorder="1" applyAlignment="1" applyProtection="1">
      <alignment horizontal="center"/>
      <protection locked="0"/>
    </xf>
    <xf numFmtId="0" fontId="28" fillId="0" borderId="31" xfId="0" applyFont="1" applyBorder="1" applyAlignment="1" applyProtection="1">
      <alignment horizontal="center"/>
      <protection locked="0"/>
    </xf>
    <xf numFmtId="0" fontId="28" fillId="0" borderId="34" xfId="0" applyFont="1" applyBorder="1" applyAlignment="1" applyProtection="1">
      <alignment horizontal="center"/>
      <protection locked="0"/>
    </xf>
    <xf numFmtId="0" fontId="19" fillId="17" borderId="14" xfId="0" applyFont="1" applyFill="1" applyBorder="1" applyAlignment="1" applyProtection="1">
      <alignment horizontal="center"/>
      <protection hidden="1"/>
    </xf>
    <xf numFmtId="0" fontId="19" fillId="17" borderId="15" xfId="0" applyFont="1" applyFill="1" applyBorder="1" applyAlignment="1" applyProtection="1">
      <alignment horizontal="center"/>
      <protection hidden="1"/>
    </xf>
    <xf numFmtId="0" fontId="19" fillId="17" borderId="48" xfId="0" applyFont="1" applyFill="1" applyBorder="1" applyAlignment="1" applyProtection="1">
      <alignment horizontal="center"/>
      <protection hidden="1"/>
    </xf>
    <xf numFmtId="0" fontId="19" fillId="17" borderId="8" xfId="0" applyFont="1" applyFill="1" applyBorder="1" applyAlignment="1" applyProtection="1">
      <alignment horizontal="center"/>
      <protection hidden="1"/>
    </xf>
    <xf numFmtId="0" fontId="19" fillId="17" borderId="9" xfId="0" applyFont="1" applyFill="1" applyBorder="1" applyAlignment="1" applyProtection="1">
      <alignment horizontal="center"/>
      <protection hidden="1"/>
    </xf>
    <xf numFmtId="3" fontId="24" fillId="0" borderId="48" xfId="0" applyNumberFormat="1" applyFont="1" applyBorder="1" applyAlignment="1" applyProtection="1">
      <alignment horizontal="center"/>
      <protection locked="0"/>
    </xf>
    <xf numFmtId="3" fontId="24" fillId="0" borderId="47" xfId="0" applyNumberFormat="1" applyFont="1" applyBorder="1" applyAlignment="1" applyProtection="1">
      <alignment horizontal="center"/>
      <protection locked="0"/>
    </xf>
    <xf numFmtId="3" fontId="24" fillId="0" borderId="46" xfId="0" applyNumberFormat="1" applyFont="1" applyBorder="1" applyAlignment="1" applyProtection="1">
      <alignment horizontal="center"/>
      <protection locked="0"/>
    </xf>
    <xf numFmtId="168" fontId="38" fillId="14" borderId="23" xfId="0" applyNumberFormat="1" applyFont="1" applyFill="1" applyBorder="1" applyAlignment="1" applyProtection="1">
      <alignment horizontal="center" vertical="center"/>
      <protection locked="0"/>
    </xf>
    <xf numFmtId="168" fontId="38" fillId="14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165" fontId="15" fillId="14" borderId="23" xfId="1" applyNumberFormat="1" applyFont="1" applyFill="1" applyBorder="1" applyAlignment="1" applyProtection="1">
      <alignment horizontal="center" vertical="center"/>
      <protection locked="0"/>
    </xf>
    <xf numFmtId="165" fontId="15" fillId="14" borderId="24" xfId="1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39" fillId="0" borderId="10" xfId="0" applyFont="1" applyBorder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14" borderId="8" xfId="0" applyFont="1" applyFill="1" applyBorder="1" applyAlignment="1" applyProtection="1">
      <alignment horizontal="center" vertical="center"/>
      <protection locked="0"/>
    </xf>
    <xf numFmtId="0" fontId="1" fillId="14" borderId="22" xfId="0" applyFont="1" applyFill="1" applyBorder="1" applyAlignment="1" applyProtection="1">
      <alignment horizontal="center" vertical="center"/>
      <protection locked="0"/>
    </xf>
    <xf numFmtId="0" fontId="1" fillId="14" borderId="9" xfId="0" applyFont="1" applyFill="1" applyBorder="1" applyAlignment="1" applyProtection="1">
      <alignment horizontal="center" vertical="center"/>
      <protection locked="0"/>
    </xf>
    <xf numFmtId="0" fontId="1" fillId="14" borderId="12" xfId="0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vertical="center"/>
      <protection locked="0"/>
    </xf>
    <xf numFmtId="0" fontId="1" fillId="14" borderId="13" xfId="0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5" fillId="0" borderId="23" xfId="0" applyFont="1" applyBorder="1" applyAlignment="1" applyProtection="1">
      <alignment horizontal="center" vertical="center" shrinkToFit="1"/>
      <protection hidden="1"/>
    </xf>
    <xf numFmtId="0" fontId="15" fillId="0" borderId="24" xfId="0" applyFont="1" applyBorder="1" applyAlignment="1" applyProtection="1">
      <alignment horizontal="center" vertical="center" shrinkToFit="1"/>
      <protection hidden="1"/>
    </xf>
    <xf numFmtId="0" fontId="30" fillId="0" borderId="23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5" fillId="23" borderId="23" xfId="1" applyNumberFormat="1" applyFont="1" applyFill="1" applyBorder="1" applyAlignment="1" applyProtection="1">
      <alignment horizontal="center" vertical="center"/>
      <protection hidden="1"/>
    </xf>
    <xf numFmtId="165" fontId="15" fillId="23" borderId="24" xfId="1" applyNumberFormat="1" applyFont="1" applyFill="1" applyBorder="1" applyAlignment="1" applyProtection="1">
      <alignment horizontal="center" vertical="center"/>
      <protection hidden="1"/>
    </xf>
    <xf numFmtId="168" fontId="38" fillId="0" borderId="23" xfId="0" applyNumberFormat="1" applyFont="1" applyBorder="1" applyAlignment="1" applyProtection="1">
      <alignment horizontal="center" vertical="center"/>
      <protection hidden="1"/>
    </xf>
    <xf numFmtId="168" fontId="38" fillId="0" borderId="25" xfId="0" applyNumberFormat="1" applyFont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13" borderId="7" xfId="0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5" fontId="15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24" xfId="1" applyNumberFormat="1" applyFont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/>
      <protection locked="0"/>
    </xf>
    <xf numFmtId="0" fontId="0" fillId="13" borderId="6" xfId="0" applyFill="1" applyBorder="1" applyAlignment="1" applyProtection="1">
      <alignment horizontal="center"/>
      <protection locked="0"/>
    </xf>
    <xf numFmtId="0" fontId="0" fillId="13" borderId="7" xfId="0" applyFill="1" applyBorder="1" applyAlignment="1" applyProtection="1">
      <alignment horizontal="center"/>
      <protection locked="0"/>
    </xf>
    <xf numFmtId="0" fontId="15" fillId="0" borderId="23" xfId="0" applyFont="1" applyBorder="1" applyAlignment="1" applyProtection="1">
      <alignment horizontal="center" vertical="center"/>
      <protection hidden="1"/>
    </xf>
    <xf numFmtId="0" fontId="15" fillId="0" borderId="24" xfId="0" applyFont="1" applyBorder="1" applyAlignment="1" applyProtection="1">
      <alignment horizontal="center" vertical="center"/>
      <protection hidden="1"/>
    </xf>
    <xf numFmtId="0" fontId="15" fillId="14" borderId="23" xfId="0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18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44" fontId="34" fillId="0" borderId="0" xfId="1" applyFont="1" applyFill="1" applyBorder="1" applyAlignment="1">
      <alignment horizontal="center" vertical="center"/>
    </xf>
    <xf numFmtId="9" fontId="11" fillId="14" borderId="23" xfId="0" applyNumberFormat="1" applyFont="1" applyFill="1" applyBorder="1" applyAlignment="1" applyProtection="1">
      <alignment horizontal="center" vertical="center"/>
      <protection locked="0"/>
    </xf>
    <xf numFmtId="9" fontId="11" fillId="14" borderId="25" xfId="0" applyNumberFormat="1" applyFont="1" applyFill="1" applyBorder="1" applyAlignment="1" applyProtection="1">
      <alignment horizontal="center" vertical="center"/>
      <protection locked="0"/>
    </xf>
    <xf numFmtId="9" fontId="11" fillId="14" borderId="24" xfId="0" applyNumberFormat="1" applyFont="1" applyFill="1" applyBorder="1" applyAlignment="1" applyProtection="1">
      <alignment horizontal="center" vertical="center"/>
      <protection locked="0"/>
    </xf>
    <xf numFmtId="7" fontId="10" fillId="0" borderId="0" xfId="1" applyNumberFormat="1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0" fillId="21" borderId="0" xfId="0" applyFill="1" applyAlignment="1" applyProtection="1">
      <alignment horizontal="center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5" fillId="22" borderId="8" xfId="3" applyFont="1" applyFill="1" applyBorder="1" applyAlignment="1" applyProtection="1">
      <alignment horizontal="center" vertical="center"/>
      <protection locked="0"/>
    </xf>
    <xf numFmtId="9" fontId="15" fillId="22" borderId="9" xfId="3" applyFont="1" applyFill="1" applyBorder="1" applyAlignment="1" applyProtection="1">
      <alignment horizontal="center" vertical="center"/>
      <protection locked="0"/>
    </xf>
    <xf numFmtId="9" fontId="15" fillId="22" borderId="12" xfId="3" applyFont="1" applyFill="1" applyBorder="1" applyAlignment="1" applyProtection="1">
      <alignment horizontal="center" vertical="center"/>
      <protection locked="0"/>
    </xf>
    <xf numFmtId="9" fontId="15" fillId="22" borderId="13" xfId="3" applyFont="1" applyFill="1" applyBorder="1" applyAlignment="1" applyProtection="1">
      <alignment horizontal="center" vertical="center"/>
      <protection locked="0"/>
    </xf>
    <xf numFmtId="44" fontId="15" fillId="0" borderId="0" xfId="0" applyNumberFormat="1" applyFont="1" applyAlignment="1">
      <alignment vertical="center"/>
    </xf>
    <xf numFmtId="0" fontId="15" fillId="0" borderId="9" xfId="0" applyFont="1" applyBorder="1" applyAlignment="1" applyProtection="1">
      <alignment horizontal="center" vertical="center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/>
      <protection hidden="1"/>
    </xf>
    <xf numFmtId="44" fontId="15" fillId="0" borderId="24" xfId="0" applyNumberFormat="1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 wrapText="1"/>
      <protection hidden="1"/>
    </xf>
    <xf numFmtId="44" fontId="15" fillId="0" borderId="24" xfId="0" applyNumberFormat="1" applyFont="1" applyBorder="1" applyAlignment="1" applyProtection="1">
      <alignment horizontal="center" vertical="center" wrapText="1"/>
      <protection hidden="1"/>
    </xf>
    <xf numFmtId="9" fontId="11" fillId="12" borderId="23" xfId="0" applyNumberFormat="1" applyFont="1" applyFill="1" applyBorder="1" applyAlignment="1" applyProtection="1">
      <alignment horizontal="center" vertical="center"/>
      <protection locked="0"/>
    </xf>
    <xf numFmtId="9" fontId="11" fillId="12" borderId="25" xfId="0" applyNumberFormat="1" applyFont="1" applyFill="1" applyBorder="1" applyAlignment="1" applyProtection="1">
      <alignment horizontal="center" vertical="center"/>
      <protection locked="0"/>
    </xf>
    <xf numFmtId="9" fontId="11" fillId="12" borderId="24" xfId="0" applyNumberFormat="1" applyFont="1" applyFill="1" applyBorder="1" applyAlignment="1" applyProtection="1">
      <alignment horizontal="center" vertical="center"/>
      <protection locked="0"/>
    </xf>
    <xf numFmtId="0" fontId="15" fillId="14" borderId="9" xfId="0" applyFont="1" applyFill="1" applyBorder="1" applyAlignment="1" applyProtection="1">
      <alignment horizontal="center" vertical="center"/>
      <protection locked="0"/>
    </xf>
    <xf numFmtId="0" fontId="15" fillId="14" borderId="13" xfId="0" applyFont="1" applyFill="1" applyBorder="1" applyAlignment="1" applyProtection="1">
      <alignment horizontal="center" vertical="center"/>
      <protection locked="0"/>
    </xf>
    <xf numFmtId="0" fontId="45" fillId="0" borderId="0" xfId="0" applyFont="1" applyAlignment="1">
      <alignment horizontal="center" vertical="center" textRotation="90" wrapText="1"/>
    </xf>
    <xf numFmtId="0" fontId="46" fillId="0" borderId="0" xfId="0" applyFont="1" applyAlignment="1">
      <alignment horizontal="center" vertical="center" textRotation="90"/>
    </xf>
    <xf numFmtId="0" fontId="46" fillId="0" borderId="0" xfId="0" applyFont="1" applyAlignment="1">
      <alignment horizontal="center" vertical="center" textRotation="90" wrapText="1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7" fontId="10" fillId="13" borderId="33" xfId="1" applyNumberFormat="1" applyFont="1" applyFill="1" applyBorder="1" applyAlignment="1" applyProtection="1">
      <alignment horizontal="center"/>
      <protection locked="0"/>
    </xf>
    <xf numFmtId="7" fontId="10" fillId="13" borderId="34" xfId="1" applyNumberFormat="1" applyFont="1" applyFill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hidden="1"/>
    </xf>
    <xf numFmtId="0" fontId="28" fillId="0" borderId="47" xfId="0" applyFont="1" applyBorder="1" applyAlignment="1" applyProtection="1">
      <alignment horizontal="center"/>
      <protection hidden="1"/>
    </xf>
    <xf numFmtId="0" fontId="28" fillId="0" borderId="46" xfId="0" applyFont="1" applyBorder="1" applyAlignment="1" applyProtection="1">
      <alignment horizontal="center"/>
      <protection hidden="1"/>
    </xf>
    <xf numFmtId="0" fontId="19" fillId="17" borderId="14" xfId="0" applyFont="1" applyFill="1" applyBorder="1" applyAlignment="1" applyProtection="1">
      <alignment horizontal="center"/>
      <protection locked="0"/>
    </xf>
    <xf numFmtId="0" fontId="19" fillId="17" borderId="15" xfId="0" applyFont="1" applyFill="1" applyBorder="1" applyAlignment="1" applyProtection="1">
      <alignment horizontal="center"/>
      <protection locked="0"/>
    </xf>
    <xf numFmtId="0" fontId="19" fillId="17" borderId="48" xfId="0" applyFont="1" applyFill="1" applyBorder="1" applyAlignment="1" applyProtection="1">
      <alignment horizontal="center"/>
      <protection locked="0"/>
    </xf>
    <xf numFmtId="0" fontId="19" fillId="17" borderId="8" xfId="0" applyFont="1" applyFill="1" applyBorder="1" applyAlignment="1" applyProtection="1">
      <alignment horizontal="center"/>
      <protection locked="0"/>
    </xf>
    <xf numFmtId="0" fontId="19" fillId="17" borderId="9" xfId="0" applyFont="1" applyFill="1" applyBorder="1" applyAlignment="1" applyProtection="1">
      <alignment horizontal="center"/>
      <protection locked="0"/>
    </xf>
    <xf numFmtId="0" fontId="19" fillId="17" borderId="3" xfId="0" applyFont="1" applyFill="1" applyBorder="1" applyAlignment="1" applyProtection="1">
      <alignment horizontal="center"/>
      <protection locked="0"/>
    </xf>
    <xf numFmtId="0" fontId="22" fillId="15" borderId="26" xfId="0" applyFont="1" applyFill="1" applyBorder="1" applyAlignment="1" applyProtection="1">
      <alignment horizontal="center" vertical="center" wrapText="1"/>
      <protection locked="0"/>
    </xf>
    <xf numFmtId="0" fontId="22" fillId="15" borderId="3" xfId="0" applyFont="1" applyFill="1" applyBorder="1" applyAlignment="1" applyProtection="1">
      <alignment horizontal="center" vertical="center" wrapText="1"/>
      <protection locked="0"/>
    </xf>
    <xf numFmtId="0" fontId="22" fillId="15" borderId="34" xfId="0" applyFont="1" applyFill="1" applyBorder="1" applyAlignment="1" applyProtection="1">
      <alignment horizontal="center" vertical="center" wrapText="1"/>
      <protection locked="0"/>
    </xf>
    <xf numFmtId="0" fontId="24" fillId="0" borderId="43" xfId="0" applyFont="1" applyBorder="1" applyAlignment="1" applyProtection="1">
      <alignment horizontal="center" vertical="center"/>
      <protection locked="0"/>
    </xf>
    <xf numFmtId="0" fontId="23" fillId="17" borderId="17" xfId="0" applyFont="1" applyFill="1" applyBorder="1" applyAlignment="1" applyProtection="1">
      <alignment horizontal="center"/>
      <protection locked="0"/>
    </xf>
    <xf numFmtId="0" fontId="23" fillId="17" borderId="29" xfId="0" applyFont="1" applyFill="1" applyBorder="1" applyAlignment="1" applyProtection="1">
      <alignment horizontal="center"/>
      <protection locked="0"/>
    </xf>
    <xf numFmtId="0" fontId="23" fillId="17" borderId="8" xfId="0" applyFont="1" applyFill="1" applyBorder="1" applyAlignment="1" applyProtection="1">
      <alignment horizontal="center"/>
      <protection locked="0"/>
    </xf>
    <xf numFmtId="0" fontId="23" fillId="17" borderId="42" xfId="0" applyFont="1" applyFill="1" applyBorder="1" applyAlignment="1" applyProtection="1">
      <alignment horizontal="center"/>
      <protection locked="0"/>
    </xf>
    <xf numFmtId="0" fontId="19" fillId="0" borderId="6" xfId="0" applyFont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center"/>
      <protection locked="0"/>
    </xf>
    <xf numFmtId="0" fontId="23" fillId="0" borderId="32" xfId="0" applyFont="1" applyBorder="1" applyAlignment="1" applyProtection="1">
      <alignment horizontal="center"/>
      <protection locked="0"/>
    </xf>
    <xf numFmtId="0" fontId="23" fillId="0" borderId="33" xfId="0" applyFont="1" applyBorder="1" applyAlignment="1" applyProtection="1">
      <alignment horizontal="center"/>
      <protection locked="0"/>
    </xf>
    <xf numFmtId="7" fontId="22" fillId="4" borderId="8" xfId="0" applyNumberFormat="1" applyFont="1" applyFill="1" applyBorder="1" applyAlignment="1" applyProtection="1">
      <alignment horizontal="center"/>
      <protection locked="0"/>
    </xf>
    <xf numFmtId="0" fontId="22" fillId="4" borderId="9" xfId="0" applyFont="1" applyFill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/>
      <protection locked="0"/>
    </xf>
    <xf numFmtId="0" fontId="16" fillId="0" borderId="9" xfId="0" applyFont="1" applyBorder="1" applyAlignment="1" applyProtection="1">
      <alignment horizontal="center"/>
      <protection locked="0"/>
    </xf>
    <xf numFmtId="0" fontId="16" fillId="0" borderId="11" xfId="0" applyFont="1" applyBorder="1" applyAlignment="1" applyProtection="1">
      <alignment horizontal="center"/>
      <protection locked="0"/>
    </xf>
    <xf numFmtId="0" fontId="19" fillId="17" borderId="40" xfId="0" applyFont="1" applyFill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4" fillId="17" borderId="47" xfId="0" applyFont="1" applyFill="1" applyBorder="1" applyAlignment="1">
      <alignment horizontal="center"/>
    </xf>
    <xf numFmtId="0" fontId="24" fillId="17" borderId="46" xfId="0" applyFont="1" applyFill="1" applyBorder="1" applyAlignment="1">
      <alignment horizontal="center"/>
    </xf>
    <xf numFmtId="0" fontId="24" fillId="17" borderId="33" xfId="0" applyFont="1" applyFill="1" applyBorder="1" applyAlignment="1">
      <alignment horizontal="center"/>
    </xf>
    <xf numFmtId="0" fontId="24" fillId="17" borderId="34" xfId="0" applyFont="1" applyFill="1" applyBorder="1" applyAlignment="1">
      <alignment horizontal="center"/>
    </xf>
    <xf numFmtId="0" fontId="19" fillId="17" borderId="14" xfId="0" applyFont="1" applyFill="1" applyBorder="1" applyAlignment="1">
      <alignment horizontal="center"/>
    </xf>
    <xf numFmtId="0" fontId="19" fillId="17" borderId="15" xfId="0" applyFont="1" applyFill="1" applyBorder="1" applyAlignment="1">
      <alignment horizontal="center"/>
    </xf>
    <xf numFmtId="0" fontId="19" fillId="17" borderId="48" xfId="0" applyFont="1" applyFill="1" applyBorder="1" applyAlignment="1">
      <alignment horizontal="center"/>
    </xf>
    <xf numFmtId="0" fontId="19" fillId="17" borderId="8" xfId="0" applyFont="1" applyFill="1" applyBorder="1" applyAlignment="1">
      <alignment horizontal="center"/>
    </xf>
    <xf numFmtId="0" fontId="19" fillId="17" borderId="9" xfId="0" applyFont="1" applyFill="1" applyBorder="1" applyAlignment="1">
      <alignment horizontal="center"/>
    </xf>
    <xf numFmtId="0" fontId="27" fillId="4" borderId="17" xfId="0" applyFont="1" applyFill="1" applyBorder="1" applyAlignment="1" applyProtection="1">
      <alignment horizontal="center" vertical="center" wrapText="1"/>
      <protection locked="0"/>
    </xf>
    <xf numFmtId="0" fontId="27" fillId="4" borderId="3" xfId="0" applyFont="1" applyFill="1" applyBorder="1" applyAlignment="1" applyProtection="1">
      <alignment horizontal="center" vertical="center" wrapText="1"/>
      <protection locked="0"/>
    </xf>
    <xf numFmtId="0" fontId="27" fillId="4" borderId="33" xfId="0" applyFont="1" applyFill="1" applyBorder="1" applyAlignment="1" applyProtection="1">
      <alignment horizontal="center" vertical="center" wrapText="1"/>
      <protection locked="0"/>
    </xf>
    <xf numFmtId="0" fontId="19" fillId="17" borderId="3" xfId="0" applyFont="1" applyFill="1" applyBorder="1" applyAlignment="1">
      <alignment horizontal="center"/>
    </xf>
    <xf numFmtId="0" fontId="23" fillId="17" borderId="17" xfId="0" applyFont="1" applyFill="1" applyBorder="1" applyAlignment="1">
      <alignment horizontal="center"/>
    </xf>
    <xf numFmtId="0" fontId="23" fillId="17" borderId="29" xfId="0" applyFont="1" applyFill="1" applyBorder="1" applyAlignment="1">
      <alignment horizontal="center"/>
    </xf>
    <xf numFmtId="0" fontId="23" fillId="17" borderId="8" xfId="0" applyFont="1" applyFill="1" applyBorder="1" applyAlignment="1">
      <alignment horizontal="center"/>
    </xf>
    <xf numFmtId="0" fontId="23" fillId="17" borderId="42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17" borderId="40" xfId="0" applyFont="1" applyFill="1" applyBorder="1" applyAlignment="1">
      <alignment horizontal="center"/>
    </xf>
    <xf numFmtId="0" fontId="19" fillId="17" borderId="36" xfId="0" applyFont="1" applyFill="1" applyBorder="1" applyAlignment="1">
      <alignment horizontal="center"/>
    </xf>
    <xf numFmtId="0" fontId="19" fillId="17" borderId="26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17" borderId="31" xfId="0" applyFont="1" applyFill="1" applyBorder="1" applyAlignment="1">
      <alignment horizontal="left"/>
    </xf>
    <xf numFmtId="0" fontId="16" fillId="15" borderId="3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/>
    </xf>
    <xf numFmtId="0" fontId="19" fillId="17" borderId="0" xfId="0" applyFont="1" applyFill="1" applyAlignment="1">
      <alignment horizontal="right"/>
    </xf>
    <xf numFmtId="0" fontId="20" fillId="15" borderId="3" xfId="0" applyFont="1" applyFill="1" applyBorder="1" applyAlignment="1">
      <alignment horizontal="center"/>
    </xf>
    <xf numFmtId="0" fontId="20" fillId="15" borderId="18" xfId="0" applyFont="1" applyFill="1" applyBorder="1" applyAlignment="1">
      <alignment horizontal="center"/>
    </xf>
    <xf numFmtId="0" fontId="20" fillId="15" borderId="29" xfId="0" applyFont="1" applyFill="1" applyBorder="1" applyAlignment="1">
      <alignment horizontal="center"/>
    </xf>
    <xf numFmtId="0" fontId="20" fillId="15" borderId="36" xfId="0" applyFont="1" applyFill="1" applyBorder="1" applyAlignment="1">
      <alignment horizontal="center"/>
    </xf>
    <xf numFmtId="0" fontId="20" fillId="15" borderId="41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/>
    </xf>
    <xf numFmtId="0" fontId="19" fillId="17" borderId="41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29">
    <dxf>
      <fill>
        <patternFill>
          <bgColor rgb="FFFFC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00FF"/>
      <color rgb="FFFF0066"/>
      <color rgb="FFFF7C8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7145</xdr:colOff>
      <xdr:row>12</xdr:row>
      <xdr:rowOff>130968</xdr:rowOff>
    </xdr:from>
    <xdr:to>
      <xdr:col>30</xdr:col>
      <xdr:colOff>238125</xdr:colOff>
      <xdr:row>50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3A67B7-3BD4-44BB-8718-A5B3708AF39B}"/>
            </a:ext>
          </a:extLst>
        </xdr:cNvPr>
        <xdr:cNvSpPr/>
      </xdr:nvSpPr>
      <xdr:spPr>
        <a:xfrm>
          <a:off x="15409070" y="2569368"/>
          <a:ext cx="230980" cy="7367588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731044</xdr:colOff>
      <xdr:row>45</xdr:row>
      <xdr:rowOff>0</xdr:rowOff>
    </xdr:from>
    <xdr:to>
      <xdr:col>30</xdr:col>
      <xdr:colOff>214312</xdr:colOff>
      <xdr:row>45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546F70-C11F-4A64-931C-86BDACBE743E}"/>
            </a:ext>
          </a:extLst>
        </xdr:cNvPr>
        <xdr:cNvSpPr/>
      </xdr:nvSpPr>
      <xdr:spPr>
        <a:xfrm>
          <a:off x="15399544" y="8772525"/>
          <a:ext cx="216693" cy="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8506</xdr:colOff>
      <xdr:row>9</xdr:row>
      <xdr:rowOff>1701</xdr:rowOff>
    </xdr:from>
    <xdr:to>
      <xdr:col>25</xdr:col>
      <xdr:colOff>226220</xdr:colOff>
      <xdr:row>19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A151BF-CC1B-4360-85A6-2CE23CC5DD1B}"/>
            </a:ext>
          </a:extLst>
        </xdr:cNvPr>
        <xdr:cNvSpPr/>
      </xdr:nvSpPr>
      <xdr:spPr>
        <a:xfrm>
          <a:off x="17582131" y="1870982"/>
          <a:ext cx="217714" cy="202236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758190</xdr:colOff>
      <xdr:row>10</xdr:row>
      <xdr:rowOff>5080</xdr:rowOff>
    </xdr:from>
    <xdr:ext cx="3499485" cy="3274826"/>
    <xdr:pic>
      <xdr:nvPicPr>
        <xdr:cNvPr id="2" name="Picture 1">
          <a:extLst>
            <a:ext uri="{FF2B5EF4-FFF2-40B4-BE49-F238E27FC236}">
              <a16:creationId xmlns:a16="http://schemas.microsoft.com/office/drawing/2014/main" id="{2D92F4BF-5E1C-40F9-8D02-FE6CFDB35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715" y="2462530"/>
          <a:ext cx="3499485" cy="32748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liteflowersasci.sharepoint.com/Dropbox%20(Elite%20Flower)/My%20Documents/Supply%20Chain/QUOT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liteflowersasci-my.sharepoint.com/Users/cmsalazar/Library/Containers/com.microsoft.Excel/Data/Documents/C:/Dropbox%20(Elite%20Flower)/My%20Documents/Supply%20Chain/BQT%20QUOTE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CHART"/>
      <sheetName val="DBCategoria-Class"/>
      <sheetName val="DBCost"/>
      <sheetName val="DBOrigen"/>
      <sheetName val="DBHoliday"/>
      <sheetName val="DBProduct"/>
      <sheetName val="DBColor"/>
      <sheetName val="DBGrade"/>
      <sheetName val="TABLE"/>
      <sheetName val="FL COST"/>
      <sheetName val="V-DAY"/>
      <sheetName val="M-DAY"/>
      <sheetName val="FALL"/>
      <sheetName val="THX-XMAS"/>
      <sheetName val="ST. P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1">
          <cell r="A391" t="str">
            <v>EVERYDAY</v>
          </cell>
          <cell r="B391">
            <v>3.5</v>
          </cell>
          <cell r="C391">
            <v>0.67</v>
          </cell>
          <cell r="D391">
            <v>1</v>
          </cell>
        </row>
        <row r="392">
          <cell r="A392" t="str">
            <v>VALENTINE'S DAY</v>
          </cell>
          <cell r="B392">
            <v>4.5</v>
          </cell>
          <cell r="C392">
            <v>1.2</v>
          </cell>
          <cell r="D392">
            <v>1.4</v>
          </cell>
        </row>
        <row r="393">
          <cell r="A393" t="str">
            <v>ST. PATRICK</v>
          </cell>
          <cell r="B393">
            <v>3.5</v>
          </cell>
          <cell r="C393">
            <v>0.67</v>
          </cell>
          <cell r="D393">
            <v>1</v>
          </cell>
        </row>
        <row r="394">
          <cell r="A394" t="str">
            <v>EASTER</v>
          </cell>
          <cell r="B394">
            <v>3.5</v>
          </cell>
          <cell r="C394">
            <v>0.67</v>
          </cell>
          <cell r="D394">
            <v>1</v>
          </cell>
        </row>
        <row r="395">
          <cell r="A395" t="str">
            <v>MOTHER'S DAY</v>
          </cell>
          <cell r="B395">
            <v>4.5</v>
          </cell>
          <cell r="C395">
            <v>1.2</v>
          </cell>
          <cell r="D395">
            <v>1.4</v>
          </cell>
        </row>
        <row r="396">
          <cell r="A396" t="str">
            <v>FALL COLORS</v>
          </cell>
          <cell r="B396">
            <v>3.5</v>
          </cell>
          <cell r="C396">
            <v>0.67</v>
          </cell>
          <cell r="D396">
            <v>1</v>
          </cell>
        </row>
        <row r="397">
          <cell r="A397" t="str">
            <v>XMAS COLORS</v>
          </cell>
          <cell r="B397">
            <v>3.5</v>
          </cell>
          <cell r="C397">
            <v>0.67</v>
          </cell>
          <cell r="D397">
            <v>1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 CO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73CF-7D9E-4754-80D5-928839B2D87E}">
  <sheetPr codeName="Sheet39">
    <tabColor rgb="FFFFC000"/>
  </sheetPr>
  <dimension ref="A1:AQ129"/>
  <sheetViews>
    <sheetView showGridLines="0" topLeftCell="B13" zoomScale="72" zoomScaleNormal="145" workbookViewId="0">
      <selection activeCell="AA41" sqref="AA41:AB41"/>
    </sheetView>
  </sheetViews>
  <sheetFormatPr defaultColWidth="8.6640625" defaultRowHeight="14.4" x14ac:dyDescent="0.3"/>
  <cols>
    <col min="1" max="1" width="7.44140625" hidden="1" customWidth="1"/>
    <col min="2" max="2" width="3.44140625" style="55" customWidth="1"/>
    <col min="3" max="3" width="14.44140625" customWidth="1"/>
    <col min="4" max="4" width="23.44140625" customWidth="1"/>
    <col min="5" max="7" width="5.44140625" customWidth="1"/>
    <col min="8" max="8" width="19.44140625" customWidth="1"/>
    <col min="9" max="9" width="17.44140625" customWidth="1"/>
    <col min="10" max="10" width="20.44140625" customWidth="1"/>
    <col min="11" max="11" width="10" customWidth="1"/>
    <col min="12" max="12" width="12" customWidth="1"/>
    <col min="13" max="13" width="9.44140625" customWidth="1"/>
    <col min="14" max="14" width="7.44140625" style="21" hidden="1" customWidth="1"/>
    <col min="15" max="15" width="25.44140625" style="21" hidden="1" customWidth="1"/>
    <col min="16" max="16" width="5.6640625" style="21" hidden="1" customWidth="1"/>
    <col min="17" max="20" width="10.44140625" style="21" hidden="1" customWidth="1"/>
    <col min="21" max="24" width="9" style="21" hidden="1" customWidth="1"/>
    <col min="25" max="25" width="3.44140625" style="21" customWidth="1"/>
    <col min="26" max="26" width="18.6640625" customWidth="1"/>
    <col min="27" max="27" width="19.44140625" customWidth="1"/>
    <col min="28" max="29" width="15.44140625" customWidth="1"/>
    <col min="30" max="30" width="11" customWidth="1"/>
    <col min="31" max="31" width="7.109375" customWidth="1"/>
    <col min="32" max="32" width="6.44140625" hidden="1" customWidth="1"/>
    <col min="33" max="33" width="17.109375" customWidth="1"/>
    <col min="34" max="34" width="10.44140625" customWidth="1"/>
    <col min="35" max="35" width="16.44140625" customWidth="1"/>
    <col min="36" max="36" width="3.44140625" style="55" customWidth="1"/>
    <col min="37" max="37" width="17.44140625" style="55" customWidth="1"/>
    <col min="38" max="38" width="23.44140625" style="1" customWidth="1"/>
    <col min="39" max="39" width="14.6640625" customWidth="1"/>
    <col min="40" max="41" width="10.6640625" customWidth="1"/>
    <col min="42" max="42" width="16" bestFit="1" customWidth="1"/>
  </cols>
  <sheetData>
    <row r="1" spans="1:43" ht="15" customHeight="1" thickBot="1" x14ac:dyDescent="0.35">
      <c r="N1" s="499" t="s">
        <v>0</v>
      </c>
      <c r="O1" s="500" t="s">
        <v>1</v>
      </c>
      <c r="P1" s="501" t="s">
        <v>2</v>
      </c>
      <c r="Q1" s="502" t="s">
        <v>3</v>
      </c>
      <c r="R1" s="502" t="s">
        <v>4</v>
      </c>
      <c r="S1" s="502" t="s">
        <v>5</v>
      </c>
      <c r="T1" s="502" t="s">
        <v>6</v>
      </c>
      <c r="U1" s="502" t="s">
        <v>7</v>
      </c>
      <c r="AJ1" s="318"/>
    </row>
    <row r="2" spans="1:43" ht="15.75" customHeight="1" thickBot="1" x14ac:dyDescent="0.35">
      <c r="N2" s="499"/>
      <c r="O2" s="500"/>
      <c r="P2" s="501"/>
      <c r="Q2" s="502"/>
      <c r="R2" s="502"/>
      <c r="S2" s="502"/>
      <c r="T2" s="502"/>
      <c r="U2" s="502"/>
      <c r="AG2" s="523" t="s">
        <v>8</v>
      </c>
      <c r="AH2" s="524"/>
      <c r="AI2" s="527">
        <f>AI6+(AI6*AI4)+(SUM($AI$9:$AI$11)*SUM($M$15:$M$41))</f>
        <v>0.64860000000000007</v>
      </c>
      <c r="AJ2" s="155"/>
      <c r="AL2" s="505" t="s">
        <v>9</v>
      </c>
      <c r="AM2" s="529">
        <f>IFERROR((AM4-AI6-(SUM($AI$9:$AI$11)*SUM($M$15:$M$41)))/AI6,0)</f>
        <v>16.712765957446805</v>
      </c>
      <c r="AN2" s="503" t="str">
        <f>IF(AM2&lt;10%,"MUST BE OVER 10% - ASK MARAY","")</f>
        <v/>
      </c>
      <c r="AO2" s="504"/>
      <c r="AP2" s="504"/>
      <c r="AQ2" s="504"/>
    </row>
    <row r="3" spans="1:43" ht="16.5" customHeight="1" thickBot="1" x14ac:dyDescent="0.35">
      <c r="C3" s="505" t="s">
        <v>10</v>
      </c>
      <c r="D3" s="507" t="s">
        <v>1238</v>
      </c>
      <c r="E3" s="508"/>
      <c r="F3" s="508"/>
      <c r="G3" s="509"/>
      <c r="J3" s="513" t="s">
        <v>11</v>
      </c>
      <c r="K3" s="515">
        <f>SUM(C:C)</f>
        <v>0</v>
      </c>
      <c r="N3" s="499"/>
      <c r="O3" s="500"/>
      <c r="P3" s="501"/>
      <c r="Q3" s="502"/>
      <c r="R3" s="502"/>
      <c r="S3" s="502"/>
      <c r="T3" s="502"/>
      <c r="U3" s="502"/>
      <c r="AF3" s="123"/>
      <c r="AG3" s="525"/>
      <c r="AH3" s="526"/>
      <c r="AI3" s="528"/>
      <c r="AL3" s="506"/>
      <c r="AM3" s="530"/>
      <c r="AN3" s="503"/>
      <c r="AO3" s="504"/>
      <c r="AP3" s="504"/>
      <c r="AQ3" s="504"/>
    </row>
    <row r="4" spans="1:43" ht="16.5" customHeight="1" thickBot="1" x14ac:dyDescent="0.35">
      <c r="C4" s="506"/>
      <c r="D4" s="510"/>
      <c r="E4" s="511"/>
      <c r="F4" s="511"/>
      <c r="G4" s="512"/>
      <c r="J4" s="514"/>
      <c r="K4" s="516"/>
      <c r="N4" s="499"/>
      <c r="O4" s="500"/>
      <c r="P4" s="501"/>
      <c r="Q4" s="502"/>
      <c r="R4" s="502"/>
      <c r="S4" s="502"/>
      <c r="T4" s="502"/>
      <c r="U4" s="502"/>
      <c r="Z4" s="517" t="s">
        <v>12</v>
      </c>
      <c r="AA4" s="517" t="s">
        <v>13</v>
      </c>
      <c r="AB4" s="517" t="s">
        <v>14</v>
      </c>
      <c r="AC4" s="517" t="s">
        <v>15</v>
      </c>
      <c r="AF4" s="123"/>
      <c r="AG4" s="519" t="s">
        <v>9</v>
      </c>
      <c r="AH4" s="520"/>
      <c r="AI4" s="493">
        <v>0.15</v>
      </c>
      <c r="AL4" s="495" t="s">
        <v>8</v>
      </c>
      <c r="AM4" s="497">
        <v>9.99</v>
      </c>
    </row>
    <row r="5" spans="1:43" ht="16.5" customHeight="1" thickBot="1" x14ac:dyDescent="0.35">
      <c r="N5" s="499"/>
      <c r="O5" s="500"/>
      <c r="P5" s="501"/>
      <c r="Q5" s="502"/>
      <c r="R5" s="502"/>
      <c r="S5" s="502"/>
      <c r="T5" s="502"/>
      <c r="U5" s="502"/>
      <c r="Z5" s="518"/>
      <c r="AA5" s="518"/>
      <c r="AB5" s="518"/>
      <c r="AC5" s="518"/>
      <c r="AF5" s="123"/>
      <c r="AG5" s="521"/>
      <c r="AH5" s="522"/>
      <c r="AI5" s="494"/>
      <c r="AL5" s="496"/>
      <c r="AM5" s="498"/>
    </row>
    <row r="6" spans="1:43" ht="16.5" customHeight="1" thickBot="1" x14ac:dyDescent="0.35">
      <c r="C6" s="14" t="s">
        <v>16</v>
      </c>
      <c r="D6" s="531" t="s">
        <v>107</v>
      </c>
      <c r="E6" s="532"/>
      <c r="F6" s="532"/>
      <c r="G6" s="533"/>
      <c r="N6" s="499"/>
      <c r="O6" s="500"/>
      <c r="P6" s="501"/>
      <c r="Q6" s="502"/>
      <c r="R6" s="502"/>
      <c r="S6" s="502"/>
      <c r="T6" s="502"/>
      <c r="U6" s="502"/>
      <c r="Z6" s="275" t="s">
        <v>1239</v>
      </c>
      <c r="AA6" s="249" t="e">
        <f>VLOOKUP(Z6,DP_FB_RELATION,2,FALSE)</f>
        <v>#N/A</v>
      </c>
      <c r="AB6" s="250" t="e">
        <f>VLOOKUP(Z6,DP_FB_RELATION,4,FALSE)</f>
        <v>#N/A</v>
      </c>
      <c r="AC6" s="251" t="e">
        <f>VLOOKUP(Z6,DP_FB_RELATION,7,FALSE)</f>
        <v>#N/A</v>
      </c>
      <c r="AF6" s="123"/>
      <c r="AG6" s="523" t="s">
        <v>19</v>
      </c>
      <c r="AH6" s="534"/>
      <c r="AI6" s="536">
        <f>+AD37+AD48+AD49</f>
        <v>0.56400000000000006</v>
      </c>
    </row>
    <row r="7" spans="1:43" ht="16.5" customHeight="1" thickBot="1" x14ac:dyDescent="0.35">
      <c r="C7" s="14" t="s">
        <v>20</v>
      </c>
      <c r="D7" s="531" t="s">
        <v>242</v>
      </c>
      <c r="E7" s="532"/>
      <c r="F7" s="532"/>
      <c r="G7" s="533"/>
      <c r="N7" s="499"/>
      <c r="O7" s="500"/>
      <c r="P7" s="501"/>
      <c r="Q7" s="502"/>
      <c r="R7" s="502"/>
      <c r="S7" s="502"/>
      <c r="T7" s="502"/>
      <c r="U7" s="502"/>
      <c r="AG7" s="525"/>
      <c r="AH7" s="535"/>
      <c r="AI7" s="537"/>
      <c r="AJ7" s="266"/>
    </row>
    <row r="8" spans="1:43" ht="27.75" customHeight="1" thickBot="1" x14ac:dyDescent="0.35">
      <c r="E8" s="153"/>
      <c r="F8" s="153"/>
      <c r="G8" s="153"/>
      <c r="N8" s="499"/>
      <c r="O8" s="500"/>
      <c r="P8" s="501"/>
      <c r="Q8" s="502"/>
      <c r="R8" s="502"/>
      <c r="S8" s="502"/>
      <c r="T8" s="502"/>
      <c r="U8" s="502"/>
      <c r="Z8" s="125" t="s">
        <v>22</v>
      </c>
      <c r="AA8" s="374" t="s">
        <v>23</v>
      </c>
      <c r="AB8" s="374" t="s">
        <v>24</v>
      </c>
      <c r="AJ8" s="266"/>
    </row>
    <row r="9" spans="1:43" ht="13.5" customHeight="1" thickBot="1" x14ac:dyDescent="0.35">
      <c r="C9" s="121" t="s">
        <v>25</v>
      </c>
      <c r="D9" s="538" t="s">
        <v>26</v>
      </c>
      <c r="E9" s="539"/>
      <c r="F9" s="539"/>
      <c r="G9" s="540"/>
      <c r="N9" s="499"/>
      <c r="O9" s="500"/>
      <c r="P9" s="501"/>
      <c r="Q9" s="502"/>
      <c r="R9" s="502"/>
      <c r="S9" s="502"/>
      <c r="T9" s="502"/>
      <c r="U9" s="502"/>
      <c r="V9" s="378"/>
      <c r="W9" s="378"/>
      <c r="X9" s="378"/>
      <c r="Z9" s="541" t="e">
        <f>ROUND(AB9/VLOOKUP(Z6,DP_FB_RELATION,3,FALSE),0)</f>
        <v>#N/A</v>
      </c>
      <c r="AA9" s="543">
        <v>7</v>
      </c>
      <c r="AB9" s="541">
        <f>IFERROR(ROUND(1/SUM(N:N),0),0)</f>
        <v>0</v>
      </c>
      <c r="AF9" s="124"/>
      <c r="AG9" s="545" t="s">
        <v>27</v>
      </c>
      <c r="AH9" s="546"/>
      <c r="AI9" s="110">
        <v>0.01</v>
      </c>
      <c r="AJ9" s="266"/>
    </row>
    <row r="10" spans="1:43" ht="13.5" customHeight="1" thickBot="1" x14ac:dyDescent="0.35">
      <c r="C10" s="121" t="s">
        <v>28</v>
      </c>
      <c r="D10" s="538" t="s">
        <v>29</v>
      </c>
      <c r="E10" s="539"/>
      <c r="F10" s="539"/>
      <c r="G10" s="540"/>
      <c r="N10" s="375"/>
      <c r="O10" s="376"/>
      <c r="P10" s="377"/>
      <c r="Q10" s="378"/>
      <c r="R10" s="378"/>
      <c r="S10" s="378"/>
      <c r="T10" s="378"/>
      <c r="U10" s="378"/>
      <c r="V10" s="378"/>
      <c r="W10" s="378"/>
      <c r="X10" s="378"/>
      <c r="Z10" s="542"/>
      <c r="AA10" s="544"/>
      <c r="AB10" s="542"/>
      <c r="AD10" s="130"/>
      <c r="AF10" s="124"/>
      <c r="AG10" s="547" t="s">
        <v>30</v>
      </c>
      <c r="AH10" s="548"/>
      <c r="AI10" s="313">
        <v>5.0000000000000001E-3</v>
      </c>
      <c r="AJ10" s="266"/>
    </row>
    <row r="11" spans="1:43" ht="13.5" customHeight="1" thickBot="1" x14ac:dyDescent="0.35">
      <c r="C11" s="6"/>
      <c r="N11" s="375"/>
      <c r="O11" s="376"/>
      <c r="P11" s="377"/>
      <c r="Q11" s="378"/>
      <c r="R11" s="378"/>
      <c r="S11" s="378"/>
      <c r="T11" s="378"/>
      <c r="U11" s="378"/>
      <c r="V11" s="378"/>
      <c r="W11" s="378"/>
      <c r="X11" s="378"/>
      <c r="Z11" s="248"/>
      <c r="AA11" s="248"/>
      <c r="AB11" s="248"/>
      <c r="AC11" s="248"/>
      <c r="AD11" s="248"/>
      <c r="AE11" s="265"/>
      <c r="AF11" s="33"/>
      <c r="AG11" s="550" t="s">
        <v>31</v>
      </c>
      <c r="AH11" s="551"/>
      <c r="AI11" s="314">
        <v>0</v>
      </c>
      <c r="AJ11" s="266"/>
    </row>
    <row r="12" spans="1:43" s="1" customFormat="1" ht="10.5" customHeight="1" x14ac:dyDescent="0.3">
      <c r="B12" s="55"/>
      <c r="C12"/>
      <c r="D12"/>
      <c r="E12"/>
      <c r="F12"/>
      <c r="G12"/>
      <c r="H12"/>
      <c r="I12"/>
      <c r="J12"/>
      <c r="K12"/>
      <c r="L12"/>
      <c r="M12"/>
      <c r="N12" s="376"/>
      <c r="O12" s="376"/>
      <c r="P12" s="377"/>
      <c r="Q12" s="378"/>
      <c r="R12" s="378"/>
      <c r="S12" s="378"/>
      <c r="T12" s="378"/>
      <c r="U12" s="378"/>
      <c r="V12" s="378"/>
      <c r="W12" s="378"/>
      <c r="X12" s="378"/>
      <c r="Y12" s="21"/>
      <c r="Z12" s="266" t="s">
        <v>32</v>
      </c>
      <c r="AA12" s="266"/>
      <c r="AB12" s="266"/>
      <c r="AC12" s="266"/>
      <c r="AD12" s="267">
        <f>SUM($M$15:$M$41)</f>
        <v>0</v>
      </c>
      <c r="AE12" s="244"/>
      <c r="AH12" s="370"/>
      <c r="AJ12" s="268"/>
      <c r="AK12" s="55"/>
      <c r="AM12"/>
    </row>
    <row r="13" spans="1:43" ht="10.5" customHeight="1" x14ac:dyDescent="0.3">
      <c r="N13" s="376"/>
      <c r="O13" s="376"/>
      <c r="P13" s="377"/>
      <c r="Q13" s="378"/>
      <c r="R13" s="378"/>
      <c r="S13" s="378"/>
      <c r="T13" s="378"/>
      <c r="U13" s="378"/>
      <c r="V13" s="378"/>
      <c r="W13" s="378"/>
      <c r="X13" s="378"/>
      <c r="Z13" s="266" t="s">
        <v>33</v>
      </c>
      <c r="AA13" s="266"/>
      <c r="AB13" s="266"/>
      <c r="AC13" s="266"/>
      <c r="AD13" s="267">
        <f>IFERROR(VLOOKUP($D$6,LIST!$A$111:$E$116,MATCH($D$9,LIST!$A$110:$E$110,0),FALSE)*VLOOKUP($Z$6,DP_FB_RELATION,4,FALSE)/VLOOKUP("FULL",DP_FB_RELATION,4,FALSE)/$AA$9,0)</f>
        <v>0</v>
      </c>
      <c r="AE13" s="248"/>
      <c r="AG13" s="1"/>
      <c r="AH13" s="1"/>
      <c r="AI13" s="1"/>
      <c r="AJ13" s="268"/>
      <c r="AK13" s="552" t="s">
        <v>34</v>
      </c>
      <c r="AL13" s="552" t="s">
        <v>35</v>
      </c>
      <c r="AM13" s="552" t="s">
        <v>36</v>
      </c>
      <c r="AN13" s="552" t="s">
        <v>37</v>
      </c>
      <c r="AO13" s="552" t="s">
        <v>38</v>
      </c>
      <c r="AP13" s="552" t="s">
        <v>39</v>
      </c>
    </row>
    <row r="14" spans="1:43" ht="15.75" customHeight="1" thickBot="1" x14ac:dyDescent="0.35">
      <c r="B14" s="379"/>
      <c r="C14" s="135" t="s">
        <v>40</v>
      </c>
      <c r="D14" s="135" t="s">
        <v>41</v>
      </c>
      <c r="E14" s="135" t="s">
        <v>42</v>
      </c>
      <c r="F14" s="135" t="s">
        <v>5</v>
      </c>
      <c r="G14" s="135" t="s">
        <v>7</v>
      </c>
      <c r="H14" s="135" t="s">
        <v>43</v>
      </c>
      <c r="I14" s="135" t="s">
        <v>44</v>
      </c>
      <c r="J14" s="135" t="s">
        <v>45</v>
      </c>
      <c r="K14" s="135" t="s">
        <v>46</v>
      </c>
      <c r="L14" s="135" t="s">
        <v>47</v>
      </c>
      <c r="M14" s="135" t="s">
        <v>48</v>
      </c>
      <c r="N14" s="136"/>
      <c r="O14" s="136"/>
      <c r="P14" s="137"/>
      <c r="Q14" s="138"/>
      <c r="R14" s="372" t="s">
        <v>4</v>
      </c>
      <c r="S14" s="372" t="s">
        <v>49</v>
      </c>
      <c r="T14" s="372"/>
      <c r="U14" s="372" t="s">
        <v>7</v>
      </c>
      <c r="V14" s="139"/>
      <c r="W14" s="139" t="s">
        <v>50</v>
      </c>
      <c r="X14" s="139" t="s">
        <v>51</v>
      </c>
      <c r="Y14" s="261"/>
      <c r="Z14" s="135" t="s">
        <v>41</v>
      </c>
      <c r="AA14" s="135"/>
      <c r="AB14" s="135"/>
      <c r="AC14" s="127"/>
      <c r="AD14" s="135" t="s">
        <v>47</v>
      </c>
      <c r="AG14" s="154" t="s">
        <v>52</v>
      </c>
      <c r="AH14" s="165" t="s">
        <v>53</v>
      </c>
      <c r="AI14" s="135" t="s">
        <v>54</v>
      </c>
      <c r="AJ14" s="268"/>
      <c r="AK14" s="552"/>
      <c r="AL14" s="552"/>
      <c r="AM14" s="552"/>
      <c r="AN14" s="552"/>
      <c r="AO14" s="552"/>
      <c r="AP14" s="552"/>
    </row>
    <row r="15" spans="1:43" ht="15" customHeight="1" x14ac:dyDescent="0.3">
      <c r="A15">
        <v>1</v>
      </c>
      <c r="B15" s="259" t="str">
        <f>IFERROR(VLOOKUP(D15,LIST!$A$2:$B$86,2,FALSE),"")</f>
        <v/>
      </c>
      <c r="C15" s="56"/>
      <c r="D15" s="315"/>
      <c r="E15" s="371"/>
      <c r="F15" s="371"/>
      <c r="G15" s="371"/>
      <c r="H15" s="315"/>
      <c r="I15" s="315"/>
      <c r="J15" s="316"/>
      <c r="K15" s="309"/>
      <c r="L15" s="226">
        <f>_xlfn.IFNA(SUM(IF($D$6=$J$44,VLOOKUP($D15,'FL COST'!$A$1:$G$81,2,FALSE),IF($D$6=$J$45,VLOOKUP($D15,'FL COST'!$A$1:$G$81,3,FALSE),IF($D$6=$J$46,VLOOKUP($D15,'FL COST'!$A$1:$G$81,4,FALSE),IF($D$6=$J$47,VLOOKUP($D15,'FL COST'!$A$1:$G$81,5,FALSE),IF($D$6=$J$48,VLOOKUP($D15,'FL COST'!$A$1:$G$81,6,FALSE),IF($D$6=$J$49,VLOOKUP($D15,'FL COST'!$A$1:$G$81,7,FALSE),0))))))+IF(E15="Y",0.02,0)+IF(F15="Y",0.02,0)),0)</f>
        <v>0</v>
      </c>
      <c r="M15" s="233">
        <f t="shared" ref="M15" si="0">IFERROR(C15*L15,"ERROR")</f>
        <v>0</v>
      </c>
      <c r="N15" s="63">
        <f>IFERROR(SUM($C15/VLOOKUP($D15,PACK!A:B,2,FALSE)),0)</f>
        <v>0</v>
      </c>
      <c r="O15" s="63">
        <f>IFERROR(SUM($C15/VLOOKUP($D15,PACK!A:B,2,FALSE)),0)</f>
        <v>0</v>
      </c>
      <c r="P15" s="21" t="e">
        <f>C15*1/VLOOKUP(D15,PACK!A:B,9,FALSE)</f>
        <v>#N/A</v>
      </c>
      <c r="Q15" s="22">
        <f>IF(C15&lt;&gt;0,N15*VLOOKUP($D$6,FB_COST,3,FALSE),0)</f>
        <v>0</v>
      </c>
      <c r="R15" s="51" t="b">
        <f>ISNUMBER(MATCH("TNT_"&amp;B15,TINTED!$B$1:$Y$1,0))</f>
        <v>0</v>
      </c>
      <c r="S15" s="51" t="b">
        <f>ISNUMBER(MATCH("GLT_"&amp;B15,GLITTERED!$B$1:$S$1,0))</f>
        <v>0</v>
      </c>
      <c r="T15" s="51"/>
      <c r="U15" s="51" t="b">
        <f>ISNUMBER(MATCH("BC_"&amp;B15,BICOLOR!$B$1:$Y$1,0))</f>
        <v>0</v>
      </c>
      <c r="V15" s="51"/>
      <c r="W15" s="116" t="str">
        <f t="shared" ref="W15:W41" si="1">IFERROR(IF(VLOOKUP(D15,FL_COST_COL,2,FALSE)="USA","USA","COL"),"")</f>
        <v/>
      </c>
      <c r="X15" s="51" t="str">
        <f>IF(K15&lt;&gt;"","$","NO")</f>
        <v>NO</v>
      </c>
      <c r="Y15" s="262"/>
      <c r="Z15" s="553" t="s">
        <v>56</v>
      </c>
      <c r="AA15" s="553"/>
      <c r="AB15" s="1"/>
      <c r="AD15" s="554">
        <f>+SUM(AD12:AD13)</f>
        <v>0</v>
      </c>
      <c r="AE15" s="29"/>
      <c r="AF15" t="s">
        <v>52</v>
      </c>
      <c r="AG15" s="30" t="s">
        <v>57</v>
      </c>
      <c r="AH15" s="234">
        <f>IFERROR(VLOOKUP($Z$6,DP_FB_RELATION,4,FALSE)*VLOOKUP(AH14,LIST!$A$121:$C$126,3,FALSE)/VLOOKUP("FULL",DP_FB_RELATION,4,FALSE)/$AA$9,0)</f>
        <v>0</v>
      </c>
      <c r="AI15" s="555">
        <v>1</v>
      </c>
      <c r="AJ15" s="266">
        <v>1</v>
      </c>
      <c r="AK15" s="244" t="str">
        <f>IFERROR(VLOOKUP(AJ15&amp;"-"&amp;$D$7,'CUST DATAB'!B:E,3,FALSE),"")</f>
        <v>MIAMI</v>
      </c>
      <c r="AL15" s="245" t="str">
        <f>IFERROR(VLOOKUP(AJ15&amp;"-"&amp;$D$7,'CUST DATAB'!B:E,4,FALSE),"")</f>
        <v>ORLANDO</v>
      </c>
      <c r="AM15" s="246">
        <f>IFERROR(IF(VLOOKUP($AK15,$AF$15:$AI$42,4,FALSE)&lt;&gt;0,IF(AL15&lt;&gt;"",VLOOKUP(AL15,'CUST DATAB'!E:F,2,FALSE),""),""),"")</f>
        <v>0</v>
      </c>
      <c r="AN15" s="246" t="e">
        <f t="shared" ref="AN15:AN57" si="2">IF(AM15&lt;&gt;"",AM15*IF($AA$40="y",VLOOKUP($AA$42,CASES,4,FALSE),IF($AA$40="n",VLOOKUP($Z$6,DP_FB_RELATION,4,FALSE))),"")</f>
        <v>#N/A</v>
      </c>
      <c r="AO15" s="247" t="e">
        <f t="shared" ref="AO15:AO40" si="3">IF(AN15&lt;&gt;"",AN15/IF($AA$40="y",$AB$45,IF($AA$40="n",$AA$9)),"")</f>
        <v>#N/A</v>
      </c>
      <c r="AP15" s="247" t="e">
        <f>IF(AO15&lt;&gt;"",$AI$2+AO15,"")</f>
        <v>#N/A</v>
      </c>
      <c r="AQ15" s="113"/>
    </row>
    <row r="16" spans="1:43" ht="15" customHeight="1" x14ac:dyDescent="0.3">
      <c r="A16">
        <v>2</v>
      </c>
      <c r="B16" s="259" t="str">
        <f>IFERROR(VLOOKUP(D16,LIST!$A$2:$B$86,2,FALSE),"")</f>
        <v/>
      </c>
      <c r="C16" s="56"/>
      <c r="D16" s="315"/>
      <c r="E16" s="371"/>
      <c r="F16" s="371"/>
      <c r="G16" s="371"/>
      <c r="H16" s="315"/>
      <c r="I16" s="315"/>
      <c r="J16" s="316"/>
      <c r="K16" s="309"/>
      <c r="L16" s="226">
        <f>_xlfn.IFNA(SUM(IF($D$6=$J$44,VLOOKUP($D16,'FL COST'!$A$1:$G$81,2,FALSE),IF($D$6=$J$45,VLOOKUP($D16,'FL COST'!$A$1:$G$81,3,FALSE),IF($D$6=$J$46,VLOOKUP($D16,'FL COST'!$A$1:$G$81,4,FALSE),IF($D$6=$J$47,VLOOKUP($D16,'FL COST'!$A$1:$G$81,5,FALSE),IF($D$6=$J$48,VLOOKUP($D16,'FL COST'!$A$1:$G$81,6,FALSE),IF($D$6=$J$49,VLOOKUP($D16,'FL COST'!$A$1:$G$81,7,FALSE),0))))))+IF(E16="Y",0.02,0)+IF(F16="Y",0.02,0)),0)</f>
        <v>0</v>
      </c>
      <c r="M16" s="233">
        <f t="shared" ref="M16:M41" si="4">IFERROR(C16*L16,"ERROR")</f>
        <v>0</v>
      </c>
      <c r="N16" s="63">
        <f>IFERROR(SUM($C16/VLOOKUP($D16,PACK!A:B,2,FALSE)),0)</f>
        <v>0</v>
      </c>
      <c r="O16" s="63">
        <f>IFERROR(SUM($C16/VLOOKUP($D16,PACK!A:B,2,FALSE)),0)</f>
        <v>0</v>
      </c>
      <c r="P16" s="21" t="e">
        <f>C16*1/VLOOKUP(D16,PACK!A:B,9,FALSE)</f>
        <v>#N/A</v>
      </c>
      <c r="Q16" s="22">
        <f t="shared" ref="Q16:Q41" si="5">IF(C16&lt;&gt;0,N16*VLOOKUP($D$6,FB_COST,3,FALSE),0)</f>
        <v>0</v>
      </c>
      <c r="R16" s="51" t="b">
        <f>ISNUMBER(MATCH("TNT_"&amp;B16,TINTED!$B$1:$Y$1,0))</f>
        <v>0</v>
      </c>
      <c r="S16" s="51" t="b">
        <f>ISNUMBER(MATCH("GLT_"&amp;B16,GLITTERED!$B$1:$S$1,0))</f>
        <v>0</v>
      </c>
      <c r="T16" s="51"/>
      <c r="U16" s="51" t="b">
        <f>ISNUMBER(MATCH("BC_"&amp;B16,BICOLOR!$B$1:$Y$1,0))</f>
        <v>0</v>
      </c>
      <c r="V16" s="51"/>
      <c r="W16" s="116" t="str">
        <f t="shared" si="1"/>
        <v/>
      </c>
      <c r="X16" s="51" t="str">
        <f t="shared" ref="X16:X41" si="6">IF(K16&lt;&gt;"","$","NO")</f>
        <v>NO</v>
      </c>
      <c r="Y16" s="262"/>
      <c r="Z16" s="553"/>
      <c r="AA16" s="553"/>
      <c r="AD16" s="554"/>
      <c r="AE16" s="29"/>
      <c r="AG16" s="31" t="s">
        <v>59</v>
      </c>
      <c r="AH16" s="235">
        <f>IF(AND($AA$40="y",$Y$43="WP"),(VLOOKUP(AH14&amp;" _ "&amp;$AA$41,LIST!$A$183:$J$224,MATCH($D$6,LIST!$A$182:$J$182,0),FALSE)-VLOOKUP($AA$42,LIST!$A$130:$H$141,5,FALSE)-VLOOKUP($AA$42,LIST!$A$130:$H$141,8,FALSE))/$AB$45,IF(AND($AA$40="y",$Y$43="ARR"),VLOOKUP(AH14&amp;" _ "&amp;$AA$41,LIST!$A$183:$J$224,MATCH($D$6,LIST!$A$182:$J$182,0),FALSE),0))</f>
        <v>0</v>
      </c>
      <c r="AI16" s="556"/>
      <c r="AJ16" s="266">
        <v>2</v>
      </c>
      <c r="AK16" s="244" t="str">
        <f>IFERROR(VLOOKUP(AJ16&amp;"-"&amp;$D$7,'CUST DATAB'!B:E,3,FALSE),"")</f>
        <v>MIAMI</v>
      </c>
      <c r="AL16" s="245" t="str">
        <f>IFERROR(VLOOKUP(AJ16&amp;"-"&amp;$D$7,'CUST DATAB'!B:E,4,FALSE),"")</f>
        <v>JACKSONVILLE</v>
      </c>
      <c r="AM16" s="246">
        <f>IFERROR(IF(VLOOKUP($AK16,$AF$15:$AI$42,4,FALSE)&lt;&gt;0,IF(AL16&lt;&gt;"",VLOOKUP(AL16,'CUST DATAB'!E:F,2,FALSE),""),""),"")</f>
        <v>0</v>
      </c>
      <c r="AN16" s="246" t="e">
        <f t="shared" si="2"/>
        <v>#N/A</v>
      </c>
      <c r="AO16" s="247" t="e">
        <f t="shared" si="3"/>
        <v>#N/A</v>
      </c>
      <c r="AP16" s="247" t="e">
        <f t="shared" ref="AP16:AP40" si="7">IF(AO16&lt;&gt;"",$AI$2+AO16,"")</f>
        <v>#N/A</v>
      </c>
      <c r="AQ16" s="113"/>
    </row>
    <row r="17" spans="1:43" ht="15.75" customHeight="1" thickBot="1" x14ac:dyDescent="0.35">
      <c r="A17">
        <v>3</v>
      </c>
      <c r="B17" s="259" t="str">
        <f>IFERROR(VLOOKUP(D17,LIST!$A$2:$B$86,2,FALSE),"")</f>
        <v/>
      </c>
      <c r="C17" s="56"/>
      <c r="D17" s="315"/>
      <c r="E17" s="371"/>
      <c r="F17" s="371"/>
      <c r="G17" s="371"/>
      <c r="H17" s="315"/>
      <c r="I17" s="315"/>
      <c r="J17" s="316"/>
      <c r="K17" s="309"/>
      <c r="L17" s="226">
        <f>_xlfn.IFNA(SUM(IF($D$6=$J$44,VLOOKUP($D17,'FL COST'!$A$1:$G$81,2,FALSE),IF($D$6=$J$45,VLOOKUP($D17,'FL COST'!$A$1:$G$81,3,FALSE),IF($D$6=$J$46,VLOOKUP($D17,'FL COST'!$A$1:$G$81,4,FALSE),IF($D$6=$J$47,VLOOKUP($D17,'FL COST'!$A$1:$G$81,5,FALSE),IF($D$6=$J$48,VLOOKUP($D17,'FL COST'!$A$1:$G$81,6,FALSE),IF($D$6=$J$49,VLOOKUP($D17,'FL COST'!$A$1:$G$81,7,FALSE),0))))))+IF(E17="Y",0.02,0)+IF(F17="Y",0.02,0)),0)</f>
        <v>0</v>
      </c>
      <c r="M17" s="233">
        <f t="shared" si="4"/>
        <v>0</v>
      </c>
      <c r="N17" s="63">
        <f>IFERROR(SUM($C17/VLOOKUP($D17,PACK!A:B,2,FALSE)),0)</f>
        <v>0</v>
      </c>
      <c r="O17" s="63">
        <f>IFERROR(SUM($C17/VLOOKUP($D17,PACK!A:B,2,FALSE)),0)</f>
        <v>0</v>
      </c>
      <c r="P17" s="21" t="e">
        <f>C17*1/VLOOKUP(D17,PACK!A:B,9,FALSE)</f>
        <v>#N/A</v>
      </c>
      <c r="Q17" s="22">
        <f t="shared" si="5"/>
        <v>0</v>
      </c>
      <c r="R17" s="51" t="b">
        <f>ISNUMBER(MATCH("TNT_"&amp;B17,TINTED!$B$1:$Y$1,0))</f>
        <v>0</v>
      </c>
      <c r="S17" s="51" t="b">
        <f>ISNUMBER(MATCH("GLT_"&amp;B17,GLITTERED!$B$1:$S$1,0))</f>
        <v>0</v>
      </c>
      <c r="T17" s="51"/>
      <c r="U17" s="51" t="b">
        <f>ISNUMBER(MATCH("BC_"&amp;B17,BICOLOR!$B$1:$Y$1,0))</f>
        <v>0</v>
      </c>
      <c r="V17" s="51"/>
      <c r="W17" s="116" t="str">
        <f t="shared" si="1"/>
        <v/>
      </c>
      <c r="X17" s="51" t="str">
        <f t="shared" si="6"/>
        <v>NO</v>
      </c>
      <c r="Y17" s="262"/>
      <c r="Z17" s="140" t="s">
        <v>60</v>
      </c>
      <c r="AA17" s="135"/>
      <c r="AB17" s="135" t="s">
        <v>47</v>
      </c>
      <c r="AC17" s="135" t="s">
        <v>61</v>
      </c>
      <c r="AD17" s="135" t="s">
        <v>48</v>
      </c>
      <c r="AG17" s="32" t="s">
        <v>62</v>
      </c>
      <c r="AH17" s="236">
        <f>+$AD$34+$AD$48+AH15+AH16</f>
        <v>0.56400000000000006</v>
      </c>
      <c r="AI17" s="557"/>
      <c r="AJ17" s="266">
        <v>3</v>
      </c>
      <c r="AK17" s="244" t="str">
        <f>IFERROR(VLOOKUP(AJ17&amp;"-"&amp;$D$7,'CUST DATAB'!B:E,3,FALSE),"")</f>
        <v>MIAMI</v>
      </c>
      <c r="AL17" s="245" t="str">
        <f>IFERROR(VLOOKUP(AJ17&amp;"-"&amp;$D$7,'CUST DATAB'!B:E,4,FALSE),"")</f>
        <v>ATLANTA</v>
      </c>
      <c r="AM17" s="246">
        <f>IFERROR(IF(VLOOKUP($AK17,$AF$15:$AI$42,4,FALSE)&lt;&gt;0,IF(AL17&lt;&gt;"",VLOOKUP(AL17,'CUST DATAB'!E:F,2,FALSE),""),""),"")</f>
        <v>0</v>
      </c>
      <c r="AN17" s="246" t="e">
        <f t="shared" si="2"/>
        <v>#N/A</v>
      </c>
      <c r="AO17" s="247" t="e">
        <f t="shared" si="3"/>
        <v>#N/A</v>
      </c>
      <c r="AP17" s="247" t="e">
        <f t="shared" si="7"/>
        <v>#N/A</v>
      </c>
      <c r="AQ17" s="113"/>
    </row>
    <row r="18" spans="1:43" x14ac:dyDescent="0.3">
      <c r="A18">
        <v>4</v>
      </c>
      <c r="B18" s="259" t="str">
        <f>IFERROR(VLOOKUP(D18,LIST!$A$2:$B$86,2,FALSE),"")</f>
        <v/>
      </c>
      <c r="C18" s="56"/>
      <c r="D18" s="315"/>
      <c r="E18" s="371"/>
      <c r="F18" s="371"/>
      <c r="G18" s="371"/>
      <c r="H18" s="315"/>
      <c r="I18" s="315"/>
      <c r="J18" s="316"/>
      <c r="K18" s="309"/>
      <c r="L18" s="226">
        <f>_xlfn.IFNA(SUM(IF($D$6=$J$44,VLOOKUP($D18,'FL COST'!$A$1:$G$81,2,FALSE),IF($D$6=$J$45,VLOOKUP($D18,'FL COST'!$A$1:$G$81,3,FALSE),IF($D$6=$J$46,VLOOKUP($D18,'FL COST'!$A$1:$G$81,4,FALSE),IF($D$6=$J$47,VLOOKUP($D18,'FL COST'!$A$1:$G$81,5,FALSE),IF($D$6=$J$48,VLOOKUP($D18,'FL COST'!$A$1:$G$81,6,FALSE),IF($D$6=$J$49,VLOOKUP($D18,'FL COST'!$A$1:$G$81,7,FALSE),0))))))+IF(E18="Y",0.02,0)+IF(F18="Y",0.02,0)),0)</f>
        <v>0</v>
      </c>
      <c r="M18" s="233">
        <f t="shared" si="4"/>
        <v>0</v>
      </c>
      <c r="N18" s="63">
        <f>IFERROR(SUM($C18/VLOOKUP($D18,PACK!A:B,2,FALSE)),0)</f>
        <v>0</v>
      </c>
      <c r="O18" s="63">
        <f>IFERROR(SUM($C18/VLOOKUP($D18,PACK!A:B,2,FALSE)),0)</f>
        <v>0</v>
      </c>
      <c r="P18" s="21" t="e">
        <f>C18*1/VLOOKUP(D18,PACK!A:B,9,FALSE)</f>
        <v>#N/A</v>
      </c>
      <c r="Q18" s="22">
        <f>IF(C18&lt;&gt;0,N18*VLOOKUP($D$6,FB_COST,3,FALSE),0)</f>
        <v>0</v>
      </c>
      <c r="R18" s="51" t="b">
        <f>ISNUMBER(MATCH("TNT_"&amp;B18,TINTED!$B$1:$Y$1,0))</f>
        <v>0</v>
      </c>
      <c r="S18" s="51" t="b">
        <f>ISNUMBER(MATCH("GLT_"&amp;B18,GLITTERED!$B$1:$S$1,0))</f>
        <v>0</v>
      </c>
      <c r="T18" s="51"/>
      <c r="U18" s="51" t="b">
        <f>ISNUMBER(MATCH("BC_"&amp;B18,BICOLOR!$B$1:$Y$1,0))</f>
        <v>0</v>
      </c>
      <c r="V18" s="51"/>
      <c r="W18" s="116" t="str">
        <f t="shared" si="1"/>
        <v/>
      </c>
      <c r="X18" s="51" t="str">
        <f t="shared" si="6"/>
        <v>NO</v>
      </c>
      <c r="Y18" s="262"/>
      <c r="Z18" s="549" t="s">
        <v>63</v>
      </c>
      <c r="AA18" s="549"/>
      <c r="AB18" s="40">
        <v>0.06</v>
      </c>
      <c r="AC18" s="56" t="s">
        <v>64</v>
      </c>
      <c r="AD18" s="239" t="str">
        <f>IF(AC18="Y",AB18,"")</f>
        <v/>
      </c>
      <c r="AE18" s="55" t="s">
        <v>63</v>
      </c>
      <c r="AF18" s="55"/>
      <c r="AJ18" s="266">
        <v>4</v>
      </c>
      <c r="AK18" s="244" t="str">
        <f>IFERROR(VLOOKUP(AJ18&amp;"-"&amp;$D$7,'CUST DATAB'!B:E,3,FALSE),"")</f>
        <v>MIAMI</v>
      </c>
      <c r="AL18" s="245" t="str">
        <f>IFERROR(VLOOKUP(AJ18&amp;"-"&amp;$D$7,'CUST DATAB'!B:E,4,FALSE),"")</f>
        <v>LAKELAND</v>
      </c>
      <c r="AM18" s="246">
        <f>IFERROR(IF(VLOOKUP($AK18,$AF$15:$AI$42,4,FALSE)&lt;&gt;0,IF(AL18&lt;&gt;"",VLOOKUP(AL18,'CUST DATAB'!E:F,2,FALSE),""),""),"")</f>
        <v>0</v>
      </c>
      <c r="AN18" s="246" t="e">
        <f t="shared" si="2"/>
        <v>#N/A</v>
      </c>
      <c r="AO18" s="247" t="e">
        <f t="shared" si="3"/>
        <v>#N/A</v>
      </c>
      <c r="AP18" s="247" t="e">
        <f t="shared" si="7"/>
        <v>#N/A</v>
      </c>
      <c r="AQ18" s="113"/>
    </row>
    <row r="19" spans="1:43" ht="15" customHeight="1" thickBot="1" x14ac:dyDescent="0.35">
      <c r="A19">
        <v>5</v>
      </c>
      <c r="B19" s="259" t="str">
        <f>IFERROR(VLOOKUP(D19,LIST!$A$2:$B$86,2,FALSE),"")</f>
        <v/>
      </c>
      <c r="C19" s="56"/>
      <c r="D19" s="315"/>
      <c r="E19" s="371"/>
      <c r="F19" s="371"/>
      <c r="G19" s="371"/>
      <c r="H19" s="315"/>
      <c r="I19" s="315"/>
      <c r="J19" s="316"/>
      <c r="K19" s="309"/>
      <c r="L19" s="226">
        <f>_xlfn.IFNA(SUM(IF($D$6=$J$44,VLOOKUP($D19,'FL COST'!$A$1:$G$81,2,FALSE),IF($D$6=$J$45,VLOOKUP($D19,'FL COST'!$A$1:$G$81,3,FALSE),IF($D$6=$J$46,VLOOKUP($D19,'FL COST'!$A$1:$G$81,4,FALSE),IF($D$6=$J$47,VLOOKUP($D19,'FL COST'!$A$1:$G$81,5,FALSE),IF($D$6=$J$48,VLOOKUP($D19,'FL COST'!$A$1:$G$81,6,FALSE),IF($D$6=$J$49,VLOOKUP($D19,'FL COST'!$A$1:$G$81,7,FALSE),0))))))+IF(E19="Y",0.02,0)+IF(F19="Y",0.02,0)),0)</f>
        <v>0</v>
      </c>
      <c r="M19" s="233">
        <f t="shared" si="4"/>
        <v>0</v>
      </c>
      <c r="N19" s="63">
        <f>IFERROR(SUM($C19/VLOOKUP($D19,PACK!A:B,2,FALSE)),0)</f>
        <v>0</v>
      </c>
      <c r="O19" s="63">
        <f>IFERROR(SUM($C19/VLOOKUP($D19,PACK!A:B,2,FALSE)),0)</f>
        <v>0</v>
      </c>
      <c r="P19" s="21" t="e">
        <f>C19*1/VLOOKUP(D19,PACK!A:B,9,FALSE)</f>
        <v>#N/A</v>
      </c>
      <c r="Q19" s="22">
        <f t="shared" si="5"/>
        <v>0</v>
      </c>
      <c r="R19" s="51" t="b">
        <f>ISNUMBER(MATCH("TNT_"&amp;B19,TINTED!$B$1:$Y$1,0))</f>
        <v>0</v>
      </c>
      <c r="S19" s="51" t="b">
        <f>ISNUMBER(MATCH("GLT_"&amp;B19,GLITTERED!$B$1:$S$1,0))</f>
        <v>0</v>
      </c>
      <c r="T19" s="51"/>
      <c r="U19" s="51" t="b">
        <f>ISNUMBER(MATCH("BC_"&amp;B19,BICOLOR!$B$1:$Y$1,0))</f>
        <v>0</v>
      </c>
      <c r="V19" s="51"/>
      <c r="W19" s="116" t="str">
        <f t="shared" si="1"/>
        <v/>
      </c>
      <c r="X19" s="51" t="str">
        <f t="shared" si="6"/>
        <v>NO</v>
      </c>
      <c r="Y19" s="260"/>
      <c r="Z19" s="549" t="s">
        <v>65</v>
      </c>
      <c r="AA19" s="549"/>
      <c r="AB19" s="40">
        <v>0.08</v>
      </c>
      <c r="AC19" s="56" t="s">
        <v>64</v>
      </c>
      <c r="AD19" s="239" t="str">
        <f t="shared" ref="AD19:AD31" si="8">IF(AC19="Y",AB19,"")</f>
        <v/>
      </c>
      <c r="AE19" s="55" t="s">
        <v>65</v>
      </c>
      <c r="AF19" s="55"/>
      <c r="AG19" s="154" t="s">
        <v>66</v>
      </c>
      <c r="AH19" s="165" t="s">
        <v>67</v>
      </c>
      <c r="AI19" s="135" t="s">
        <v>54</v>
      </c>
      <c r="AJ19" s="266">
        <v>5</v>
      </c>
      <c r="AK19" s="244" t="str">
        <f>IFERROR(VLOOKUP(AJ19&amp;"-"&amp;$D$7,'CUST DATAB'!B:E,3,FALSE),"")</f>
        <v>MIAMI</v>
      </c>
      <c r="AL19" s="245" t="str">
        <f>IFERROR(VLOOKUP(AJ19&amp;"-"&amp;$D$7,'CUST DATAB'!B:E,4,FALSE),"")</f>
        <v>MIAMI</v>
      </c>
      <c r="AM19" s="246">
        <f>IFERROR(IF(VLOOKUP($AK19,$AF$15:$AI$42,4,FALSE)&lt;&gt;0,IF(AL19&lt;&gt;"",VLOOKUP(AL19,'CUST DATAB'!E:F,2,FALSE),""),""),"")</f>
        <v>0</v>
      </c>
      <c r="AN19" s="246" t="e">
        <f t="shared" si="2"/>
        <v>#N/A</v>
      </c>
      <c r="AO19" s="247" t="e">
        <f t="shared" si="3"/>
        <v>#N/A</v>
      </c>
      <c r="AP19" s="247" t="e">
        <f t="shared" si="7"/>
        <v>#N/A</v>
      </c>
      <c r="AQ19" s="113"/>
    </row>
    <row r="20" spans="1:43" ht="15" customHeight="1" x14ac:dyDescent="0.3">
      <c r="A20">
        <v>6</v>
      </c>
      <c r="B20" s="259" t="str">
        <f>IFERROR(VLOOKUP(D20,LIST!$A$2:$B$86,2,FALSE),"")</f>
        <v/>
      </c>
      <c r="C20" s="56"/>
      <c r="D20" s="315"/>
      <c r="E20" s="371"/>
      <c r="F20" s="371"/>
      <c r="G20" s="371"/>
      <c r="H20" s="315"/>
      <c r="I20" s="315"/>
      <c r="J20" s="316"/>
      <c r="K20" s="309"/>
      <c r="L20" s="226">
        <f>_xlfn.IFNA(SUM(IF($D$6=$J$44,VLOOKUP($D20,'FL COST'!$A$1:$G$81,2,FALSE),IF($D$6=$J$45,VLOOKUP($D20,'FL COST'!$A$1:$G$81,3,FALSE),IF($D$6=$J$46,VLOOKUP($D20,'FL COST'!$A$1:$G$81,4,FALSE),IF($D$6=$J$47,VLOOKUP($D20,'FL COST'!$A$1:$G$81,5,FALSE),IF($D$6=$J$48,VLOOKUP($D20,'FL COST'!$A$1:$G$81,6,FALSE),IF($D$6=$J$49,VLOOKUP($D20,'FL COST'!$A$1:$G$81,7,FALSE),0))))))+IF(E20="Y",0.02,0)+IF(F20="Y",0.02,0)),0)</f>
        <v>0</v>
      </c>
      <c r="M20" s="233">
        <f t="shared" si="4"/>
        <v>0</v>
      </c>
      <c r="N20" s="63">
        <f>IFERROR(SUM($C20/VLOOKUP($D20,PACK!A:B,2,FALSE)),0)</f>
        <v>0</v>
      </c>
      <c r="O20" s="63">
        <f>IFERROR(SUM($C20/VLOOKUP($D20,PACK!A:B,2,FALSE)),0)</f>
        <v>0</v>
      </c>
      <c r="P20" s="21" t="e">
        <f>C20*1/VLOOKUP(D20,PACK!A:B,9,FALSE)</f>
        <v>#N/A</v>
      </c>
      <c r="Q20" s="22">
        <f t="shared" si="5"/>
        <v>0</v>
      </c>
      <c r="R20" s="51" t="b">
        <f>ISNUMBER(MATCH("TNT_"&amp;B20,TINTED!$B$1:$Y$1,0))</f>
        <v>0</v>
      </c>
      <c r="S20" s="51" t="b">
        <f>ISNUMBER(MATCH("GLT_"&amp;B20,GLITTERED!$B$1:$S$1,0))</f>
        <v>0</v>
      </c>
      <c r="T20" s="51"/>
      <c r="U20" s="51" t="b">
        <f>ISNUMBER(MATCH("BC_"&amp;B20,BICOLOR!$B$1:$Y$1,0))</f>
        <v>0</v>
      </c>
      <c r="V20" s="51"/>
      <c r="W20" s="116" t="str">
        <f t="shared" si="1"/>
        <v/>
      </c>
      <c r="X20" s="51" t="str">
        <f t="shared" si="6"/>
        <v>NO</v>
      </c>
      <c r="Y20" s="260"/>
      <c r="Z20" s="549" t="s">
        <v>68</v>
      </c>
      <c r="AA20" s="549"/>
      <c r="AB20" s="40">
        <v>5.3999999999999999E-2</v>
      </c>
      <c r="AC20" s="56" t="s">
        <v>69</v>
      </c>
      <c r="AD20" s="239">
        <f t="shared" si="8"/>
        <v>5.3999999999999999E-2</v>
      </c>
      <c r="AE20" s="55" t="s">
        <v>68</v>
      </c>
      <c r="AF20" s="55"/>
      <c r="AG20" s="30" t="s">
        <v>57</v>
      </c>
      <c r="AH20" s="234">
        <f>IFERROR(VLOOKUP($Z$6,DP_FB_RELATION,4,FALSE)*VLOOKUP(AH19,LIST!$A$121:$C$126,3,FALSE)/VLOOKUP("FULL",DP_FB_RELATION,4,FALSE)/$AA$9,0)</f>
        <v>0</v>
      </c>
      <c r="AI20" s="555">
        <v>0</v>
      </c>
      <c r="AJ20" s="266">
        <v>6</v>
      </c>
      <c r="AK20" s="244" t="str">
        <f>IFERROR(VLOOKUP(AJ20&amp;"-"&amp;$D$7,'CUST DATAB'!B:E,3,FALSE),"")</f>
        <v/>
      </c>
      <c r="AL20" s="245" t="str">
        <f>IFERROR(VLOOKUP(AJ20&amp;"-"&amp;$D$7,'CUST DATAB'!B:E,4,FALSE),"")</f>
        <v/>
      </c>
      <c r="AM20" s="246" t="str">
        <f>IFERROR(IF(VLOOKUP($AK20,$AF$15:$AI$42,4,FALSE)&lt;&gt;0,IF(AL20&lt;&gt;"",VLOOKUP(AL20,'CUST DATAB'!E:F,2,FALSE),""),""),"")</f>
        <v/>
      </c>
      <c r="AN20" s="246" t="str">
        <f t="shared" si="2"/>
        <v/>
      </c>
      <c r="AO20" s="247" t="str">
        <f t="shared" si="3"/>
        <v/>
      </c>
      <c r="AP20" s="247" t="str">
        <f t="shared" si="7"/>
        <v/>
      </c>
      <c r="AQ20" s="113"/>
    </row>
    <row r="21" spans="1:43" ht="15.75" customHeight="1" x14ac:dyDescent="0.3">
      <c r="A21">
        <v>7</v>
      </c>
      <c r="B21" s="259" t="str">
        <f>IFERROR(VLOOKUP(D21,LIST!$A$2:$B$86,2,FALSE),"")</f>
        <v/>
      </c>
      <c r="C21" s="56"/>
      <c r="D21" s="315"/>
      <c r="E21" s="371"/>
      <c r="F21" s="371"/>
      <c r="G21" s="371"/>
      <c r="H21" s="315"/>
      <c r="I21" s="315"/>
      <c r="J21" s="316"/>
      <c r="K21" s="309"/>
      <c r="L21" s="226">
        <f>_xlfn.IFNA(SUM(IF($D$6=$J$44,VLOOKUP($D21,'FL COST'!$A$1:$G$81,2,FALSE),IF($D$6=$J$45,VLOOKUP($D21,'FL COST'!$A$1:$G$81,3,FALSE),IF($D$6=$J$46,VLOOKUP($D21,'FL COST'!$A$1:$G$81,4,FALSE),IF($D$6=$J$47,VLOOKUP($D21,'FL COST'!$A$1:$G$81,5,FALSE),IF($D$6=$J$48,VLOOKUP($D21,'FL COST'!$A$1:$G$81,6,FALSE),IF($D$6=$J$49,VLOOKUP($D21,'FL COST'!$A$1:$G$81,7,FALSE),0))))))+IF(E21="Y",0.02,0)+IF(F21="Y",0.02,0)),0)</f>
        <v>0</v>
      </c>
      <c r="M21" s="233">
        <f t="shared" si="4"/>
        <v>0</v>
      </c>
      <c r="N21" s="63">
        <f>IFERROR(SUM($C21/VLOOKUP($D21,PACK!A:B,2,FALSE)),0)</f>
        <v>0</v>
      </c>
      <c r="O21" s="63">
        <f>IFERROR(SUM($C21/VLOOKUP($D21,PACK!A:B,2,FALSE)),0)</f>
        <v>0</v>
      </c>
      <c r="P21" s="21" t="e">
        <f>C21*1/VLOOKUP(D21,PACK!A:B,9,FALSE)</f>
        <v>#N/A</v>
      </c>
      <c r="Q21" s="22">
        <f t="shared" si="5"/>
        <v>0</v>
      </c>
      <c r="R21" s="51" t="b">
        <f>ISNUMBER(MATCH("TNT_"&amp;B21,TINTED!$B$1:$Y$1,0))</f>
        <v>0</v>
      </c>
      <c r="S21" s="51" t="b">
        <f>ISNUMBER(MATCH("GLT_"&amp;B21,GLITTERED!$B$1:$S$1,0))</f>
        <v>0</v>
      </c>
      <c r="T21" s="51"/>
      <c r="U21" s="51" t="b">
        <f>ISNUMBER(MATCH("BC_"&amp;B21,BICOLOR!$B$1:$Y$1,0))</f>
        <v>0</v>
      </c>
      <c r="V21" s="51"/>
      <c r="W21" s="116" t="str">
        <f t="shared" si="1"/>
        <v/>
      </c>
      <c r="X21" s="51" t="str">
        <f t="shared" si="6"/>
        <v>NO</v>
      </c>
      <c r="Y21" s="260"/>
      <c r="Z21" s="549" t="s">
        <v>70</v>
      </c>
      <c r="AA21" s="549"/>
      <c r="AB21" s="40">
        <v>0.01</v>
      </c>
      <c r="AC21" s="56" t="s">
        <v>69</v>
      </c>
      <c r="AD21" s="239">
        <f t="shared" si="8"/>
        <v>0.01</v>
      </c>
      <c r="AE21" s="55" t="s">
        <v>70</v>
      </c>
      <c r="AF21" s="55"/>
      <c r="AG21" s="31" t="s">
        <v>59</v>
      </c>
      <c r="AH21" s="235">
        <f>IF(AND($AA$40="y",$Y$43="WP"),(VLOOKUP(AH19&amp;" _ "&amp;$AA$41,LIST!$A$183:$J$224,MATCH($D$6,LIST!$A$182:$J$182,0),FALSE)-VLOOKUP($AA$42,LIST!$A$130:$H$141,5,FALSE)-VLOOKUP($AA$42,LIST!$A$130:$H$141,8,FALSE))/$AB$45,IF(AND($AA$40="y",$Y$43="ARR"),VLOOKUP(AH19&amp;" _ "&amp;$AA$41,LIST!$A$183:$J$224,MATCH($D$6,LIST!$A$182:$J$182,0),FALSE),0))</f>
        <v>0</v>
      </c>
      <c r="AI21" s="556"/>
      <c r="AJ21" s="266">
        <v>7</v>
      </c>
      <c r="AK21" s="244" t="str">
        <f>IFERROR(VLOOKUP(AJ21&amp;"-"&amp;$D$7,'CUST DATAB'!B:E,3,FALSE),"")</f>
        <v/>
      </c>
      <c r="AL21" s="245" t="str">
        <f>IFERROR(VLOOKUP(AJ21&amp;"-"&amp;$D$7,'CUST DATAB'!B:E,4,FALSE),"")</f>
        <v/>
      </c>
      <c r="AM21" s="246" t="str">
        <f>IFERROR(IF(VLOOKUP($AK21,$AF$15:$AI$42,4,FALSE)&lt;&gt;0,IF(AL21&lt;&gt;"",VLOOKUP(AL21,'CUST DATAB'!E:F,2,FALSE),""),""),"")</f>
        <v/>
      </c>
      <c r="AN21" s="246" t="str">
        <f t="shared" si="2"/>
        <v/>
      </c>
      <c r="AO21" s="247" t="str">
        <f t="shared" si="3"/>
        <v/>
      </c>
      <c r="AP21" s="247" t="str">
        <f t="shared" si="7"/>
        <v/>
      </c>
      <c r="AQ21" s="113"/>
    </row>
    <row r="22" spans="1:43" ht="15.75" customHeight="1" thickBot="1" x14ac:dyDescent="0.35">
      <c r="A22">
        <v>8</v>
      </c>
      <c r="B22" s="259" t="str">
        <f>IFERROR(VLOOKUP(D22,LIST!$A$2:$B$86,2,FALSE),"")</f>
        <v/>
      </c>
      <c r="C22" s="56"/>
      <c r="D22" s="315"/>
      <c r="E22" s="371"/>
      <c r="F22" s="371"/>
      <c r="G22" s="371"/>
      <c r="H22" s="315"/>
      <c r="I22" s="315"/>
      <c r="J22" s="316"/>
      <c r="K22" s="309"/>
      <c r="L22" s="226">
        <f>_xlfn.IFNA(SUM(IF($D$6=$J$44,VLOOKUP($D22,'FL COST'!$A$1:$G$81,2,FALSE),IF($D$6=$J$45,VLOOKUP($D22,'FL COST'!$A$1:$G$81,3,FALSE),IF($D$6=$J$46,VLOOKUP($D22,'FL COST'!$A$1:$G$81,4,FALSE),IF($D$6=$J$47,VLOOKUP($D22,'FL COST'!$A$1:$G$81,5,FALSE),IF($D$6=$J$48,VLOOKUP($D22,'FL COST'!$A$1:$G$81,6,FALSE),IF($D$6=$J$49,VLOOKUP($D22,'FL COST'!$A$1:$G$81,7,FALSE),0))))))+IF(E22="Y",0.02,0)+IF(F22="Y",0.02,0)),0)</f>
        <v>0</v>
      </c>
      <c r="M22" s="233">
        <f t="shared" si="4"/>
        <v>0</v>
      </c>
      <c r="N22" s="63">
        <f>IFERROR(SUM($C22/VLOOKUP($D22,PACK!A:B,2,FALSE)),0)</f>
        <v>0</v>
      </c>
      <c r="O22" s="63">
        <f>IFERROR(SUM($C22/VLOOKUP($D22,PACK!A:B,2,FALSE)),0)</f>
        <v>0</v>
      </c>
      <c r="P22" s="21" t="e">
        <f>C22*1/VLOOKUP(D22,PACK!A:B,9,FALSE)</f>
        <v>#N/A</v>
      </c>
      <c r="Q22" s="22">
        <f t="shared" si="5"/>
        <v>0</v>
      </c>
      <c r="R22" s="51" t="b">
        <f>ISNUMBER(MATCH("TNT_"&amp;B22,TINTED!$B$1:$Y$1,0))</f>
        <v>0</v>
      </c>
      <c r="S22" s="51" t="b">
        <f>ISNUMBER(MATCH("GLT_"&amp;B22,GLITTERED!$B$1:$S$1,0))</f>
        <v>0</v>
      </c>
      <c r="T22" s="51"/>
      <c r="U22" s="51" t="b">
        <f>ISNUMBER(MATCH("BC_"&amp;B22,BICOLOR!$B$1:$Y$1,0))</f>
        <v>0</v>
      </c>
      <c r="V22" s="51"/>
      <c r="W22" s="116" t="str">
        <f t="shared" si="1"/>
        <v/>
      </c>
      <c r="X22" s="51" t="str">
        <f t="shared" si="6"/>
        <v>NO</v>
      </c>
      <c r="Y22" s="260"/>
      <c r="Z22" s="549" t="s">
        <v>71</v>
      </c>
      <c r="AA22" s="549"/>
      <c r="AB22" s="40">
        <v>1.5</v>
      </c>
      <c r="AC22" s="56" t="s">
        <v>64</v>
      </c>
      <c r="AD22" s="239" t="str">
        <f t="shared" si="8"/>
        <v/>
      </c>
      <c r="AE22" s="55" t="s">
        <v>71</v>
      </c>
      <c r="AF22" s="55"/>
      <c r="AG22" s="32" t="s">
        <v>62</v>
      </c>
      <c r="AH22" s="236">
        <f>+$AD$34+$AD$48+AH20+AH21</f>
        <v>0.56400000000000006</v>
      </c>
      <c r="AI22" s="557"/>
      <c r="AJ22" s="266">
        <v>8</v>
      </c>
      <c r="AK22" s="244" t="str">
        <f>IFERROR(VLOOKUP(AJ22&amp;"-"&amp;$D$7,'CUST DATAB'!B:E,3,FALSE),"")</f>
        <v/>
      </c>
      <c r="AL22" s="245" t="str">
        <f>IFERROR(VLOOKUP(AJ22&amp;"-"&amp;$D$7,'CUST DATAB'!B:E,4,FALSE),"")</f>
        <v/>
      </c>
      <c r="AM22" s="246" t="str">
        <f>IFERROR(IF(VLOOKUP($AK22,$AF$15:$AI$42,4,FALSE)&lt;&gt;0,IF(AL22&lt;&gt;"",VLOOKUP(AL22,'CUST DATAB'!E:F,2,FALSE),""),""),"")</f>
        <v/>
      </c>
      <c r="AN22" s="246" t="str">
        <f t="shared" si="2"/>
        <v/>
      </c>
      <c r="AO22" s="247" t="str">
        <f t="shared" si="3"/>
        <v/>
      </c>
      <c r="AP22" s="247" t="str">
        <f t="shared" si="7"/>
        <v/>
      </c>
      <c r="AQ22" s="113"/>
    </row>
    <row r="23" spans="1:43" x14ac:dyDescent="0.3">
      <c r="A23">
        <v>9</v>
      </c>
      <c r="B23" s="259" t="str">
        <f>IFERROR(VLOOKUP(D23,LIST!$A$2:$B$86,2,FALSE),"")</f>
        <v/>
      </c>
      <c r="C23" s="56"/>
      <c r="D23" s="315"/>
      <c r="E23" s="371"/>
      <c r="F23" s="371"/>
      <c r="G23" s="371"/>
      <c r="H23" s="315"/>
      <c r="I23" s="315"/>
      <c r="J23" s="316"/>
      <c r="K23" s="309"/>
      <c r="L23" s="226">
        <f>_xlfn.IFNA(SUM(IF($D$6=$J$44,VLOOKUP($D23,'FL COST'!$A$1:$G$81,2,FALSE),IF($D$6=$J$45,VLOOKUP($D23,'FL COST'!$A$1:$G$81,3,FALSE),IF($D$6=$J$46,VLOOKUP($D23,'FL COST'!$A$1:$G$81,4,FALSE),IF($D$6=$J$47,VLOOKUP($D23,'FL COST'!$A$1:$G$81,5,FALSE),IF($D$6=$J$48,VLOOKUP($D23,'FL COST'!$A$1:$G$81,6,FALSE),IF($D$6=$J$49,VLOOKUP($D23,'FL COST'!$A$1:$G$81,7,FALSE),0))))))+IF(E23="Y",0.02,0)+IF(F23="Y",0.02,0)),0)</f>
        <v>0</v>
      </c>
      <c r="M23" s="233">
        <f t="shared" si="4"/>
        <v>0</v>
      </c>
      <c r="N23" s="63">
        <f>IFERROR(SUM($C23/VLOOKUP($D23,PACK!A:B,2,FALSE)),0)</f>
        <v>0</v>
      </c>
      <c r="O23" s="63">
        <f>IFERROR(SUM($C23/VLOOKUP($D23,PACK!A:B,2,FALSE)),0)</f>
        <v>0</v>
      </c>
      <c r="P23" s="21" t="e">
        <f>C23*1/VLOOKUP(D23,PACK!A:B,9,FALSE)</f>
        <v>#N/A</v>
      </c>
      <c r="Q23" s="22">
        <f t="shared" si="5"/>
        <v>0</v>
      </c>
      <c r="R23" s="51" t="b">
        <f>ISNUMBER(MATCH("TNT_"&amp;B23,TINTED!$B$1:$Y$1,0))</f>
        <v>0</v>
      </c>
      <c r="S23" s="51" t="b">
        <f>ISNUMBER(MATCH("GLT_"&amp;B23,GLITTERED!$B$1:$S$1,0))</f>
        <v>0</v>
      </c>
      <c r="T23" s="51"/>
      <c r="U23" s="51" t="b">
        <f>ISNUMBER(MATCH("BC_"&amp;B23,BICOLOR!$B$1:$Y$1,0))</f>
        <v>0</v>
      </c>
      <c r="V23" s="51"/>
      <c r="W23" s="116" t="str">
        <f t="shared" si="1"/>
        <v/>
      </c>
      <c r="X23" s="51" t="str">
        <f t="shared" si="6"/>
        <v>NO</v>
      </c>
      <c r="Y23" s="260"/>
      <c r="Z23" s="549" t="s">
        <v>72</v>
      </c>
      <c r="AA23" s="549"/>
      <c r="AB23" s="115">
        <v>0.35</v>
      </c>
      <c r="AC23" s="56" t="s">
        <v>73</v>
      </c>
      <c r="AD23" s="239" t="str">
        <f t="shared" si="8"/>
        <v/>
      </c>
      <c r="AE23" s="55" t="s">
        <v>72</v>
      </c>
      <c r="AF23" s="55"/>
      <c r="AJ23" s="266">
        <v>9</v>
      </c>
      <c r="AK23" s="244" t="str">
        <f>IFERROR(VLOOKUP(AJ23&amp;"-"&amp;$D$7,'CUST DATAB'!B:E,3,FALSE),"")</f>
        <v/>
      </c>
      <c r="AL23" s="245" t="str">
        <f>IFERROR(VLOOKUP(AJ23&amp;"-"&amp;$D$7,'CUST DATAB'!B:E,4,FALSE),"")</f>
        <v/>
      </c>
      <c r="AM23" s="246" t="str">
        <f>IFERROR(IF(VLOOKUP($AK23,$AF$15:$AI$42,4,FALSE)&lt;&gt;0,IF(AL23&lt;&gt;"",VLOOKUP(AL23,'CUST DATAB'!E:F,2,FALSE),""),""),"")</f>
        <v/>
      </c>
      <c r="AN23" s="246" t="str">
        <f t="shared" si="2"/>
        <v/>
      </c>
      <c r="AO23" s="247" t="str">
        <f t="shared" si="3"/>
        <v/>
      </c>
      <c r="AP23" s="247" t="str">
        <f t="shared" si="7"/>
        <v/>
      </c>
      <c r="AQ23" s="113"/>
    </row>
    <row r="24" spans="1:43" ht="15" customHeight="1" thickBot="1" x14ac:dyDescent="0.35">
      <c r="A24">
        <v>10</v>
      </c>
      <c r="B24" s="259" t="str">
        <f>IFERROR(VLOOKUP(D24,LIST!$A$2:$B$86,2,FALSE),"")</f>
        <v/>
      </c>
      <c r="C24" s="56"/>
      <c r="D24" s="315"/>
      <c r="E24" s="371"/>
      <c r="F24" s="371"/>
      <c r="G24" s="371"/>
      <c r="H24" s="315"/>
      <c r="I24" s="315"/>
      <c r="J24" s="316"/>
      <c r="K24" s="309"/>
      <c r="L24" s="226">
        <f>_xlfn.IFNA(SUM(IF($D$6=$J$44,VLOOKUP($D24,'FL COST'!$A$1:$G$81,2,FALSE),IF($D$6=$J$45,VLOOKUP($D24,'FL COST'!$A$1:$G$81,3,FALSE),IF($D$6=$J$46,VLOOKUP($D24,'FL COST'!$A$1:$G$81,4,FALSE),IF($D$6=$J$47,VLOOKUP($D24,'FL COST'!$A$1:$G$81,5,FALSE),IF($D$6=$J$48,VLOOKUP($D24,'FL COST'!$A$1:$G$81,6,FALSE),IF($D$6=$J$49,VLOOKUP($D24,'FL COST'!$A$1:$G$81,7,FALSE),0))))))+IF(E24="Y",0.02,0)+IF(F24="Y",0.02,0)),0)</f>
        <v>0</v>
      </c>
      <c r="M24" s="233">
        <f t="shared" si="4"/>
        <v>0</v>
      </c>
      <c r="N24" s="63">
        <f>IFERROR(SUM($C24/VLOOKUP($D24,PACK!A:B,2,FALSE)),0)</f>
        <v>0</v>
      </c>
      <c r="O24" s="63">
        <f>IFERROR(SUM($C24/VLOOKUP($D24,PACK!A:B,2,FALSE)),0)</f>
        <v>0</v>
      </c>
      <c r="P24" s="21" t="e">
        <f>C24*1/VLOOKUP(D24,PACK!A:B,9,FALSE)</f>
        <v>#N/A</v>
      </c>
      <c r="Q24" s="22">
        <f t="shared" si="5"/>
        <v>0</v>
      </c>
      <c r="R24" s="51" t="b">
        <f>ISNUMBER(MATCH("TNT_"&amp;B24,TINTED!$B$1:$Y$1,0))</f>
        <v>0</v>
      </c>
      <c r="S24" s="51" t="b">
        <f>ISNUMBER(MATCH("GLT_"&amp;B24,GLITTERED!$B$1:$S$1,0))</f>
        <v>0</v>
      </c>
      <c r="T24" s="51"/>
      <c r="U24" s="51" t="b">
        <f>ISNUMBER(MATCH("BC_"&amp;B24,BICOLOR!$B$1:$Y$1,0))</f>
        <v>0</v>
      </c>
      <c r="V24" s="51"/>
      <c r="W24" s="116" t="str">
        <f t="shared" si="1"/>
        <v/>
      </c>
      <c r="X24" s="51" t="str">
        <f t="shared" si="6"/>
        <v>NO</v>
      </c>
      <c r="Y24" s="260"/>
      <c r="Z24" s="549" t="s">
        <v>74</v>
      </c>
      <c r="AA24" s="549"/>
      <c r="AB24" s="115">
        <v>0.1</v>
      </c>
      <c r="AC24" s="56"/>
      <c r="AD24" s="239" t="str">
        <f t="shared" si="8"/>
        <v/>
      </c>
      <c r="AE24" s="55" t="s">
        <v>74</v>
      </c>
      <c r="AF24" s="55"/>
      <c r="AG24" s="154" t="s">
        <v>75</v>
      </c>
      <c r="AH24" s="165" t="s">
        <v>76</v>
      </c>
      <c r="AI24" s="135" t="s">
        <v>54</v>
      </c>
      <c r="AJ24" s="266">
        <v>10</v>
      </c>
      <c r="AK24" s="244" t="str">
        <f>IFERROR(VLOOKUP(AJ24&amp;"-"&amp;$D$7,'CUST DATAB'!B:E,3,FALSE),"")</f>
        <v/>
      </c>
      <c r="AL24" s="245" t="str">
        <f>IFERROR(VLOOKUP(AJ24&amp;"-"&amp;$D$7,'CUST DATAB'!B:E,4,FALSE),"")</f>
        <v/>
      </c>
      <c r="AM24" s="246" t="str">
        <f>IFERROR(IF(VLOOKUP($AK24,$AF$15:$AI$42,4,FALSE)&lt;&gt;0,IF(AL24&lt;&gt;"",VLOOKUP(AL24,'CUST DATAB'!E:F,2,FALSE),""),""),"")</f>
        <v/>
      </c>
      <c r="AN24" s="246" t="str">
        <f t="shared" si="2"/>
        <v/>
      </c>
      <c r="AO24" s="247" t="str">
        <f t="shared" si="3"/>
        <v/>
      </c>
      <c r="AP24" s="247" t="str">
        <f t="shared" si="7"/>
        <v/>
      </c>
      <c r="AQ24" s="113"/>
    </row>
    <row r="25" spans="1:43" ht="15" customHeight="1" x14ac:dyDescent="0.3">
      <c r="A25">
        <v>11</v>
      </c>
      <c r="B25" s="259" t="str">
        <f>IFERROR(VLOOKUP(D25,LIST!$A$2:$B$86,2,FALSE),"")</f>
        <v/>
      </c>
      <c r="C25" s="56"/>
      <c r="D25" s="315"/>
      <c r="E25" s="371"/>
      <c r="F25" s="371"/>
      <c r="G25" s="371"/>
      <c r="H25" s="315"/>
      <c r="I25" s="315"/>
      <c r="J25" s="316"/>
      <c r="K25" s="309"/>
      <c r="L25" s="226">
        <f>_xlfn.IFNA(SUM(IF($D$6=$J$44,VLOOKUP($D25,'FL COST'!$A$1:$G$81,2,FALSE),IF($D$6=$J$45,VLOOKUP($D25,'FL COST'!$A$1:$G$81,3,FALSE),IF($D$6=$J$46,VLOOKUP($D25,'FL COST'!$A$1:$G$81,4,FALSE),IF($D$6=$J$47,VLOOKUP($D25,'FL COST'!$A$1:$G$81,5,FALSE),IF($D$6=$J$48,VLOOKUP($D25,'FL COST'!$A$1:$G$81,6,FALSE),IF($D$6=$J$49,VLOOKUP($D25,'FL COST'!$A$1:$G$81,7,FALSE),0))))))+IF(E25="Y",0.02,0)+IF(F25="Y",0.02,0)),0)</f>
        <v>0</v>
      </c>
      <c r="M25" s="233">
        <f t="shared" si="4"/>
        <v>0</v>
      </c>
      <c r="N25" s="63">
        <f>IFERROR(SUM($C25/VLOOKUP($D25,PACK!A:B,2,FALSE)),0)</f>
        <v>0</v>
      </c>
      <c r="O25" s="63">
        <f>IFERROR(SUM($C25/VLOOKUP($D25,PACK!A:B,2,FALSE)),0)</f>
        <v>0</v>
      </c>
      <c r="P25" s="21" t="e">
        <f>C25*1/VLOOKUP(D25,PACK!A:B,9,FALSE)</f>
        <v>#N/A</v>
      </c>
      <c r="Q25" s="22">
        <f t="shared" si="5"/>
        <v>0</v>
      </c>
      <c r="R25" s="51" t="b">
        <f>ISNUMBER(MATCH("TNT_"&amp;B25,TINTED!$B$1:$Y$1,0))</f>
        <v>0</v>
      </c>
      <c r="S25" s="51" t="b">
        <f>ISNUMBER(MATCH("GLT_"&amp;B25,GLITTERED!$B$1:$S$1,0))</f>
        <v>0</v>
      </c>
      <c r="T25" s="51"/>
      <c r="U25" s="51" t="b">
        <f>ISNUMBER(MATCH("BC_"&amp;B25,BICOLOR!$B$1:$Y$1,0))</f>
        <v>0</v>
      </c>
      <c r="V25" s="51"/>
      <c r="W25" s="116" t="str">
        <f t="shared" si="1"/>
        <v/>
      </c>
      <c r="X25" s="51" t="str">
        <f t="shared" si="6"/>
        <v>NO</v>
      </c>
      <c r="Y25" s="260"/>
      <c r="Z25" s="549" t="s">
        <v>77</v>
      </c>
      <c r="AA25" s="549"/>
      <c r="AB25" s="115">
        <v>0.5</v>
      </c>
      <c r="AC25" s="56" t="s">
        <v>69</v>
      </c>
      <c r="AD25" s="239">
        <f t="shared" si="8"/>
        <v>0.5</v>
      </c>
      <c r="AE25" s="55" t="s">
        <v>77</v>
      </c>
      <c r="AF25" s="55"/>
      <c r="AG25" s="30" t="s">
        <v>57</v>
      </c>
      <c r="AH25" s="234">
        <f>IFERROR(VLOOKUP($Z$6,DP_FB_RELATION,4,FALSE)*VLOOKUP(AH24,LIST!$A$121:$C$126,3,FALSE)/VLOOKUP("FULL",DP_FB_RELATION,4,FALSE)/$AA$9,0)</f>
        <v>0</v>
      </c>
      <c r="AI25" s="555">
        <v>0</v>
      </c>
      <c r="AJ25" s="266">
        <v>11</v>
      </c>
      <c r="AK25" s="244" t="str">
        <f>IFERROR(VLOOKUP(AJ25&amp;"-"&amp;$D$7,'CUST DATAB'!B:E,3,FALSE),"")</f>
        <v/>
      </c>
      <c r="AL25" s="248" t="str">
        <f>IFERROR(VLOOKUP(AJ25&amp;"-"&amp;$D$7,'CUST DATAB'!B:E,4,FALSE),"")</f>
        <v/>
      </c>
      <c r="AM25" s="246" t="str">
        <f>IFERROR(IF(VLOOKUP($AK25,$AF$15:$AI$42,4,FALSE)&lt;&gt;0,IF(AL25&lt;&gt;"",VLOOKUP(AL25,'CUST DATAB'!E:F,2,FALSE),""),""),"")</f>
        <v/>
      </c>
      <c r="AN25" s="246" t="str">
        <f t="shared" si="2"/>
        <v/>
      </c>
      <c r="AO25" s="247" t="str">
        <f t="shared" si="3"/>
        <v/>
      </c>
      <c r="AP25" s="247" t="str">
        <f t="shared" si="7"/>
        <v/>
      </c>
      <c r="AQ25" s="113"/>
    </row>
    <row r="26" spans="1:43" ht="15.75" customHeight="1" x14ac:dyDescent="0.3">
      <c r="A26">
        <v>12</v>
      </c>
      <c r="B26" s="259" t="str">
        <f>IFERROR(VLOOKUP(D26,LIST!$A$2:$B$86,2,FALSE),"")</f>
        <v/>
      </c>
      <c r="C26" s="56"/>
      <c r="D26" s="315"/>
      <c r="E26" s="371"/>
      <c r="F26" s="371"/>
      <c r="G26" s="371"/>
      <c r="H26" s="315"/>
      <c r="I26" s="315"/>
      <c r="J26" s="316"/>
      <c r="K26" s="309"/>
      <c r="L26" s="226">
        <f>_xlfn.IFNA(SUM(IF($D$6=$J$44,VLOOKUP($D26,'FL COST'!$A$1:$G$81,2,FALSE),IF($D$6=$J$45,VLOOKUP($D26,'FL COST'!$A$1:$G$81,3,FALSE),IF($D$6=$J$46,VLOOKUP($D26,'FL COST'!$A$1:$G$81,4,FALSE),IF($D$6=$J$47,VLOOKUP($D26,'FL COST'!$A$1:$G$81,5,FALSE),IF($D$6=$J$48,VLOOKUP($D26,'FL COST'!$A$1:$G$81,6,FALSE),IF($D$6=$J$49,VLOOKUP($D26,'FL COST'!$A$1:$G$81,7,FALSE),0))))))+IF(E26="Y",0.02,0)+IF(F26="Y",0.02,0)),0)</f>
        <v>0</v>
      </c>
      <c r="M26" s="233">
        <f t="shared" si="4"/>
        <v>0</v>
      </c>
      <c r="N26" s="63">
        <f>IFERROR(SUM($C26/VLOOKUP($D26,PACK!A:B,2,FALSE)),0)</f>
        <v>0</v>
      </c>
      <c r="O26" s="63">
        <f>IFERROR(SUM($C26/VLOOKUP($D26,PACK!A:B,2,FALSE)),0)</f>
        <v>0</v>
      </c>
      <c r="P26" s="21" t="e">
        <f>C26*1/VLOOKUP(D26,PACK!A:B,9,FALSE)</f>
        <v>#N/A</v>
      </c>
      <c r="Q26" s="22">
        <f t="shared" si="5"/>
        <v>0</v>
      </c>
      <c r="R26" s="51" t="b">
        <f>ISNUMBER(MATCH("TNT_"&amp;B26,TINTED!$B$1:$Y$1,0))</f>
        <v>0</v>
      </c>
      <c r="S26" s="51" t="b">
        <f>ISNUMBER(MATCH("GLT_"&amp;B26,GLITTERED!$B$1:$S$1,0))</f>
        <v>0</v>
      </c>
      <c r="T26" s="51"/>
      <c r="U26" s="51" t="b">
        <f>ISNUMBER(MATCH("BC_"&amp;B26,BICOLOR!$B$1:$Y$1,0))</f>
        <v>0</v>
      </c>
      <c r="V26" s="51"/>
      <c r="W26" s="116" t="str">
        <f t="shared" si="1"/>
        <v/>
      </c>
      <c r="X26" s="51" t="str">
        <f t="shared" si="6"/>
        <v>NO</v>
      </c>
      <c r="Y26" s="260"/>
      <c r="Z26" s="549" t="s">
        <v>78</v>
      </c>
      <c r="AA26" s="549"/>
      <c r="AB26" s="40">
        <v>0.15</v>
      </c>
      <c r="AC26" s="56"/>
      <c r="AD26" s="239" t="str">
        <f t="shared" si="8"/>
        <v/>
      </c>
      <c r="AE26" s="55" t="s">
        <v>78</v>
      </c>
      <c r="AF26" s="55"/>
      <c r="AG26" s="31" t="s">
        <v>59</v>
      </c>
      <c r="AH26" s="235">
        <f>IF(AND($AA$40="y",$Y$43="WP"),(VLOOKUP(AH24&amp;" _ "&amp;$AA$41,LIST!$A$183:$J$224,MATCH($D$6,LIST!$A$182:$J$182,0),FALSE)-VLOOKUP($AA$42,LIST!$A$130:$H$141,5,FALSE)-VLOOKUP($AA$42,LIST!$A$130:$H$141,8,FALSE))/$AB$45,IF(AND($AA$40="y",$Y$43="ARR"),VLOOKUP(AH24&amp;" _ "&amp;$AA$41,LIST!$A$183:$J$224,MATCH($D$6,LIST!$A$182:$J$182,0),FALSE),0))</f>
        <v>0</v>
      </c>
      <c r="AI26" s="556"/>
      <c r="AJ26" s="266">
        <v>12</v>
      </c>
      <c r="AK26" s="244" t="str">
        <f>IFERROR(VLOOKUP(AJ26&amp;"-"&amp;$D$7,'CUST DATAB'!B:E,3,FALSE),"")</f>
        <v/>
      </c>
      <c r="AL26" s="248" t="str">
        <f>IFERROR(VLOOKUP(AJ26&amp;"-"&amp;$D$7,'CUST DATAB'!B:E,4,FALSE),"")</f>
        <v/>
      </c>
      <c r="AM26" s="246" t="str">
        <f>IFERROR(IF(VLOOKUP($AK26,$AF$15:$AI$42,4,FALSE)&lt;&gt;0,IF(AL26&lt;&gt;"",VLOOKUP(AL26,'CUST DATAB'!E:F,2,FALSE),""),""),"")</f>
        <v/>
      </c>
      <c r="AN26" s="246" t="str">
        <f t="shared" si="2"/>
        <v/>
      </c>
      <c r="AO26" s="247" t="str">
        <f t="shared" si="3"/>
        <v/>
      </c>
      <c r="AP26" s="247" t="str">
        <f t="shared" si="7"/>
        <v/>
      </c>
      <c r="AQ26" s="113"/>
    </row>
    <row r="27" spans="1:43" ht="15.75" customHeight="1" thickBot="1" x14ac:dyDescent="0.35">
      <c r="A27">
        <v>13</v>
      </c>
      <c r="B27" s="259" t="str">
        <f>IFERROR(VLOOKUP(D27,LIST!$A$2:$B$86,2,FALSE),"")</f>
        <v/>
      </c>
      <c r="C27" s="56"/>
      <c r="D27" s="315"/>
      <c r="E27" s="371"/>
      <c r="F27" s="371"/>
      <c r="G27" s="371"/>
      <c r="H27" s="315"/>
      <c r="I27" s="315"/>
      <c r="J27" s="316"/>
      <c r="K27" s="309"/>
      <c r="L27" s="226">
        <f>_xlfn.IFNA(SUM(IF($D$6=$J$44,VLOOKUP($D27,'FL COST'!$A$1:$G$81,2,FALSE),IF($D$6=$J$45,VLOOKUP($D27,'FL COST'!$A$1:$G$81,3,FALSE),IF($D$6=$J$46,VLOOKUP($D27,'FL COST'!$A$1:$G$81,4,FALSE),IF($D$6=$J$47,VLOOKUP($D27,'FL COST'!$A$1:$G$81,5,FALSE),IF($D$6=$J$48,VLOOKUP($D27,'FL COST'!$A$1:$G$81,6,FALSE),IF($D$6=$J$49,VLOOKUP($D27,'FL COST'!$A$1:$G$81,7,FALSE),0))))))+IF(E27="Y",0.02,0)+IF(F27="Y",0.02,0)),0)</f>
        <v>0</v>
      </c>
      <c r="M27" s="233">
        <f t="shared" si="4"/>
        <v>0</v>
      </c>
      <c r="N27" s="63">
        <f>IFERROR(SUM($C27/VLOOKUP($D27,PACK!A:B,2,FALSE)),0)</f>
        <v>0</v>
      </c>
      <c r="O27" s="63">
        <f>IFERROR(SUM($C27/VLOOKUP($D27,PACK!A:B,2,FALSE)),0)</f>
        <v>0</v>
      </c>
      <c r="P27" s="21" t="e">
        <f>C27*1/VLOOKUP(D27,PACK!A:B,9,FALSE)</f>
        <v>#N/A</v>
      </c>
      <c r="Q27" s="22">
        <f t="shared" si="5"/>
        <v>0</v>
      </c>
      <c r="R27" s="51" t="b">
        <f>ISNUMBER(MATCH("TNT_"&amp;B27,TINTED!$B$1:$Y$1,0))</f>
        <v>0</v>
      </c>
      <c r="S27" s="51" t="b">
        <f>ISNUMBER(MATCH("GLT_"&amp;B27,GLITTERED!$B$1:$S$1,0))</f>
        <v>0</v>
      </c>
      <c r="T27" s="51"/>
      <c r="U27" s="51" t="b">
        <f>ISNUMBER(MATCH("BC_"&amp;B27,BICOLOR!$B$1:$Y$1,0))</f>
        <v>0</v>
      </c>
      <c r="V27" s="51"/>
      <c r="W27" s="116" t="str">
        <f t="shared" si="1"/>
        <v/>
      </c>
      <c r="X27" s="51" t="str">
        <f t="shared" si="6"/>
        <v>NO</v>
      </c>
      <c r="Y27" s="260"/>
      <c r="Z27" s="549" t="s">
        <v>79</v>
      </c>
      <c r="AA27" s="549"/>
      <c r="AB27" s="115">
        <v>1</v>
      </c>
      <c r="AC27" s="56" t="s">
        <v>64</v>
      </c>
      <c r="AD27" s="239" t="str">
        <f t="shared" si="8"/>
        <v/>
      </c>
      <c r="AE27" s="55" t="s">
        <v>79</v>
      </c>
      <c r="AF27" s="55"/>
      <c r="AG27" s="32" t="s">
        <v>62</v>
      </c>
      <c r="AH27" s="236">
        <f>+$AD$34+$AD$48+AH25+AH26</f>
        <v>0.56400000000000006</v>
      </c>
      <c r="AI27" s="557"/>
      <c r="AJ27" s="266">
        <v>13</v>
      </c>
      <c r="AK27" s="244" t="str">
        <f>IFERROR(VLOOKUP(AJ27&amp;"-"&amp;$D$7,'CUST DATAB'!B:E,3,FALSE),"")</f>
        <v/>
      </c>
      <c r="AL27" s="248" t="str">
        <f>IFERROR(VLOOKUP(AJ27&amp;"-"&amp;$D$7,'CUST DATAB'!B:E,4,FALSE),"")</f>
        <v/>
      </c>
      <c r="AM27" s="246" t="str">
        <f>IFERROR(IF(VLOOKUP($AK27,$AF$15:$AI$42,4,FALSE)&lt;&gt;0,IF(AL27&lt;&gt;"",VLOOKUP(AL27,'CUST DATAB'!E:F,2,FALSE),""),""),"")</f>
        <v/>
      </c>
      <c r="AN27" s="246" t="str">
        <f t="shared" si="2"/>
        <v/>
      </c>
      <c r="AO27" s="247" t="str">
        <f t="shared" si="3"/>
        <v/>
      </c>
      <c r="AP27" s="247" t="str">
        <f t="shared" si="7"/>
        <v/>
      </c>
      <c r="AQ27" s="113"/>
    </row>
    <row r="28" spans="1:43" x14ac:dyDescent="0.3">
      <c r="A28">
        <v>14</v>
      </c>
      <c r="B28" s="259" t="str">
        <f>IFERROR(VLOOKUP(D28,LIST!$A$2:$B$86,2,FALSE),"")</f>
        <v/>
      </c>
      <c r="C28" s="56"/>
      <c r="D28" s="315"/>
      <c r="E28" s="371"/>
      <c r="F28" s="371"/>
      <c r="G28" s="371"/>
      <c r="H28" s="315"/>
      <c r="I28" s="315"/>
      <c r="J28" s="316"/>
      <c r="K28" s="309"/>
      <c r="L28" s="226">
        <f>_xlfn.IFNA(SUM(IF($D$6=$J$44,VLOOKUP($D28,'FL COST'!$A$1:$G$81,2,FALSE),IF($D$6=$J$45,VLOOKUP($D28,'FL COST'!$A$1:$G$81,3,FALSE),IF($D$6=$J$46,VLOOKUP($D28,'FL COST'!$A$1:$G$81,4,FALSE),IF($D$6=$J$47,VLOOKUP($D28,'FL COST'!$A$1:$G$81,5,FALSE),IF($D$6=$J$48,VLOOKUP($D28,'FL COST'!$A$1:$G$81,6,FALSE),IF($D$6=$J$49,VLOOKUP($D28,'FL COST'!$A$1:$G$81,7,FALSE),0))))))+IF(E28="Y",0.02,0)+IF(F28="Y",0.02,0)),0)</f>
        <v>0</v>
      </c>
      <c r="M28" s="233">
        <f t="shared" si="4"/>
        <v>0</v>
      </c>
      <c r="N28" s="63">
        <f>IFERROR(SUM($C28/VLOOKUP($D28,PACK!A:B,2,FALSE)),0)</f>
        <v>0</v>
      </c>
      <c r="O28" s="63">
        <f>IFERROR(SUM($C28/VLOOKUP($D28,PACK!A:B,2,FALSE)),0)</f>
        <v>0</v>
      </c>
      <c r="P28" s="21" t="e">
        <f>C28*1/VLOOKUP(D28,PACK!A:B,9,FALSE)</f>
        <v>#N/A</v>
      </c>
      <c r="Q28" s="22">
        <f t="shared" si="5"/>
        <v>0</v>
      </c>
      <c r="R28" s="51" t="b">
        <f>ISNUMBER(MATCH("TNT_"&amp;B28,TINTED!$B$1:$Y$1,0))</f>
        <v>0</v>
      </c>
      <c r="S28" s="51" t="b">
        <f>ISNUMBER(MATCH("GLT_"&amp;B28,GLITTERED!$B$1:$S$1,0))</f>
        <v>0</v>
      </c>
      <c r="T28" s="51"/>
      <c r="U28" s="51" t="b">
        <f>ISNUMBER(MATCH("BC_"&amp;B28,BICOLOR!$B$1:$Y$1,0))</f>
        <v>0</v>
      </c>
      <c r="V28" s="51"/>
      <c r="W28" s="116" t="str">
        <f t="shared" si="1"/>
        <v/>
      </c>
      <c r="X28" s="51" t="str">
        <f t="shared" si="6"/>
        <v>NO</v>
      </c>
      <c r="Y28" s="260"/>
      <c r="Z28" s="549" t="s">
        <v>80</v>
      </c>
      <c r="AA28" s="549"/>
      <c r="AB28" s="115"/>
      <c r="AC28" s="56"/>
      <c r="AD28" s="239" t="str">
        <f t="shared" si="8"/>
        <v/>
      </c>
      <c r="AE28" s="55" t="s">
        <v>80</v>
      </c>
      <c r="AF28" s="55"/>
      <c r="AJ28" s="266">
        <v>14</v>
      </c>
      <c r="AK28" s="244" t="str">
        <f>IFERROR(VLOOKUP(AJ28&amp;"-"&amp;$D$7,'CUST DATAB'!B:E,3,FALSE),"")</f>
        <v/>
      </c>
      <c r="AL28" s="248" t="str">
        <f>IFERROR(VLOOKUP(AJ28&amp;"-"&amp;$D$7,'CUST DATAB'!B:E,4,FALSE),"")</f>
        <v/>
      </c>
      <c r="AM28" s="246" t="str">
        <f>IFERROR(IF(VLOOKUP($AK28,$AF$15:$AI$42,4,FALSE)&lt;&gt;0,IF(AL28&lt;&gt;"",VLOOKUP(AL28,'CUST DATAB'!E:F,2,FALSE),""),""),"")</f>
        <v/>
      </c>
      <c r="AN28" s="246" t="str">
        <f t="shared" si="2"/>
        <v/>
      </c>
      <c r="AO28" s="247" t="str">
        <f t="shared" si="3"/>
        <v/>
      </c>
      <c r="AP28" s="247" t="str">
        <f t="shared" si="7"/>
        <v/>
      </c>
      <c r="AQ28" s="113"/>
    </row>
    <row r="29" spans="1:43" ht="15" customHeight="1" thickBot="1" x14ac:dyDescent="0.35">
      <c r="A29">
        <v>15</v>
      </c>
      <c r="B29" s="259" t="str">
        <f>IFERROR(VLOOKUP(D29,LIST!$A$2:$B$86,2,FALSE),"")</f>
        <v/>
      </c>
      <c r="C29" s="56"/>
      <c r="D29" s="315"/>
      <c r="E29" s="371"/>
      <c r="F29" s="371"/>
      <c r="G29" s="371"/>
      <c r="H29" s="315"/>
      <c r="I29" s="315"/>
      <c r="J29" s="316"/>
      <c r="K29" s="309"/>
      <c r="L29" s="226">
        <f>_xlfn.IFNA(SUM(IF($D$6=$J$44,VLOOKUP($D29,'FL COST'!$A$1:$G$81,2,FALSE),IF($D$6=$J$45,VLOOKUP($D29,'FL COST'!$A$1:$G$81,3,FALSE),IF($D$6=$J$46,VLOOKUP($D29,'FL COST'!$A$1:$G$81,4,FALSE),IF($D$6=$J$47,VLOOKUP($D29,'FL COST'!$A$1:$G$81,5,FALSE),IF($D$6=$J$48,VLOOKUP($D29,'FL COST'!$A$1:$G$81,6,FALSE),IF($D$6=$J$49,VLOOKUP($D29,'FL COST'!$A$1:$G$81,7,FALSE),0))))))+IF(E29="Y",0.02,0)+IF(F29="Y",0.02,0)),0)</f>
        <v>0</v>
      </c>
      <c r="M29" s="233">
        <f t="shared" si="4"/>
        <v>0</v>
      </c>
      <c r="N29" s="63">
        <f>IFERROR(SUM($C29/VLOOKUP($D29,PACK!A:B,2,FALSE)),0)</f>
        <v>0</v>
      </c>
      <c r="O29" s="63">
        <f>IFERROR(SUM($C29/VLOOKUP($D29,PACK!A:B,2,FALSE)),0)</f>
        <v>0</v>
      </c>
      <c r="P29" s="21" t="e">
        <f>C29*1/VLOOKUP(D29,PACK!A:B,9,FALSE)</f>
        <v>#N/A</v>
      </c>
      <c r="Q29" s="22">
        <f t="shared" si="5"/>
        <v>0</v>
      </c>
      <c r="R29" s="51" t="b">
        <f>ISNUMBER(MATCH("TNT_"&amp;B29,TINTED!$B$1:$Y$1,0))</f>
        <v>0</v>
      </c>
      <c r="S29" s="51" t="b">
        <f>ISNUMBER(MATCH("GLT_"&amp;B29,GLITTERED!$B$1:$S$1,0))</f>
        <v>0</v>
      </c>
      <c r="T29" s="51"/>
      <c r="U29" s="51" t="b">
        <f>ISNUMBER(MATCH("BC_"&amp;B29,BICOLOR!$B$1:$Y$1,0))</f>
        <v>0</v>
      </c>
      <c r="V29" s="51"/>
      <c r="W29" s="116" t="str">
        <f t="shared" si="1"/>
        <v/>
      </c>
      <c r="X29" s="51" t="str">
        <f t="shared" si="6"/>
        <v>NO</v>
      </c>
      <c r="Y29" s="260"/>
      <c r="Z29" s="549" t="s">
        <v>81</v>
      </c>
      <c r="AA29" s="549"/>
      <c r="AB29" s="115">
        <v>1</v>
      </c>
      <c r="AC29" s="56"/>
      <c r="AD29" s="239" t="str">
        <f t="shared" si="8"/>
        <v/>
      </c>
      <c r="AE29" s="55" t="s">
        <v>81</v>
      </c>
      <c r="AF29" s="55"/>
      <c r="AG29" s="154" t="s">
        <v>82</v>
      </c>
      <c r="AH29" s="165" t="s">
        <v>83</v>
      </c>
      <c r="AI29" s="135" t="s">
        <v>54</v>
      </c>
      <c r="AJ29" s="266">
        <v>15</v>
      </c>
      <c r="AK29" s="244" t="str">
        <f>IFERROR(VLOOKUP(AJ29&amp;"-"&amp;$D$7,'CUST DATAB'!B:E,3,FALSE),"")</f>
        <v/>
      </c>
      <c r="AL29" s="248" t="str">
        <f>IFERROR(VLOOKUP(AJ29&amp;"-"&amp;$D$7,'CUST DATAB'!B:E,4,FALSE),"")</f>
        <v/>
      </c>
      <c r="AM29" s="246" t="str">
        <f>IFERROR(IF(VLOOKUP($AK29,$AF$15:$AI$42,4,FALSE)&lt;&gt;0,IF(AL29&lt;&gt;"",VLOOKUP(AL29,'CUST DATAB'!E:F,2,FALSE),""),""),"")</f>
        <v/>
      </c>
      <c r="AN29" s="246" t="str">
        <f t="shared" si="2"/>
        <v/>
      </c>
      <c r="AO29" s="247" t="str">
        <f t="shared" si="3"/>
        <v/>
      </c>
      <c r="AP29" s="247" t="str">
        <f t="shared" si="7"/>
        <v/>
      </c>
      <c r="AQ29" s="113"/>
    </row>
    <row r="30" spans="1:43" ht="15.75" customHeight="1" x14ac:dyDescent="0.3">
      <c r="A30">
        <v>16</v>
      </c>
      <c r="B30" s="259" t="str">
        <f>IFERROR(VLOOKUP(D30,LIST!$A$2:$B$86,2,FALSE),"")</f>
        <v/>
      </c>
      <c r="C30" s="56"/>
      <c r="D30" s="315"/>
      <c r="E30" s="371"/>
      <c r="F30" s="371"/>
      <c r="G30" s="371"/>
      <c r="H30" s="315"/>
      <c r="I30" s="315"/>
      <c r="J30" s="316"/>
      <c r="K30" s="309"/>
      <c r="L30" s="226">
        <f>_xlfn.IFNA(SUM(IF($D$6=$J$44,VLOOKUP($D30,'FL COST'!$A$1:$G$81,2,FALSE),IF($D$6=$J$45,VLOOKUP($D30,'FL COST'!$A$1:$G$81,3,FALSE),IF($D$6=$J$46,VLOOKUP($D30,'FL COST'!$A$1:$G$81,4,FALSE),IF($D$6=$J$47,VLOOKUP($D30,'FL COST'!$A$1:$G$81,5,FALSE),IF($D$6=$J$48,VLOOKUP($D30,'FL COST'!$A$1:$G$81,6,FALSE),IF($D$6=$J$49,VLOOKUP($D30,'FL COST'!$A$1:$G$81,7,FALSE),0))))))+IF(E30="Y",0.02,0)+IF(F30="Y",0.02,0)),0)</f>
        <v>0</v>
      </c>
      <c r="M30" s="233">
        <f t="shared" si="4"/>
        <v>0</v>
      </c>
      <c r="N30" s="63">
        <f>IFERROR(SUM($C30/VLOOKUP($D30,PACK!A:B,2,FALSE)),0)</f>
        <v>0</v>
      </c>
      <c r="O30" s="63">
        <f>IFERROR(SUM($C30/VLOOKUP($D30,PACK!A:B,2,FALSE)),0)</f>
        <v>0</v>
      </c>
      <c r="P30" s="21" t="e">
        <f>C30*1/VLOOKUP(D30,PACK!A:B,9,FALSE)</f>
        <v>#N/A</v>
      </c>
      <c r="Q30" s="22">
        <f t="shared" si="5"/>
        <v>0</v>
      </c>
      <c r="R30" s="51" t="b">
        <f>ISNUMBER(MATCH("TNT_"&amp;B30,TINTED!$B$1:$Y$1,0))</f>
        <v>0</v>
      </c>
      <c r="S30" s="51" t="b">
        <f>ISNUMBER(MATCH("GLT_"&amp;B30,GLITTERED!$B$1:$S$1,0))</f>
        <v>0</v>
      </c>
      <c r="T30" s="51"/>
      <c r="U30" s="51" t="b">
        <f>ISNUMBER(MATCH("BC_"&amp;B30,BICOLOR!$B$1:$Y$1,0))</f>
        <v>0</v>
      </c>
      <c r="V30" s="51"/>
      <c r="W30" s="116" t="str">
        <f t="shared" si="1"/>
        <v/>
      </c>
      <c r="X30" s="51" t="str">
        <f t="shared" si="6"/>
        <v>NO</v>
      </c>
      <c r="Y30" s="260"/>
      <c r="Z30" s="559" t="s">
        <v>84</v>
      </c>
      <c r="AA30" s="559"/>
      <c r="AB30" s="115"/>
      <c r="AC30" s="56"/>
      <c r="AD30" s="239" t="str">
        <f t="shared" si="8"/>
        <v/>
      </c>
      <c r="AE30" s="55" t="s">
        <v>84</v>
      </c>
      <c r="AF30" s="55"/>
      <c r="AG30" s="30" t="s">
        <v>57</v>
      </c>
      <c r="AH30" s="234">
        <f>IFERROR(VLOOKUP($Z$6,DP_FB_RELATION,4,FALSE)*VLOOKUP(AH29,LIST!$A$121:$C$126,3,FALSE)/VLOOKUP("FULL",DP_FB_RELATION,4,FALSE)/$AA$9,0)</f>
        <v>0</v>
      </c>
      <c r="AI30" s="555">
        <v>0</v>
      </c>
      <c r="AJ30" s="266">
        <v>16</v>
      </c>
      <c r="AK30" s="244" t="str">
        <f>IFERROR(VLOOKUP(AJ30&amp;"-"&amp;$D$7,'CUST DATAB'!B:E,3,FALSE),"")</f>
        <v/>
      </c>
      <c r="AL30" s="248" t="str">
        <f>IFERROR(VLOOKUP(AJ30&amp;"-"&amp;$D$7,'CUST DATAB'!B:E,4,FALSE),"")</f>
        <v/>
      </c>
      <c r="AM30" s="246" t="str">
        <f>IFERROR(IF(VLOOKUP($AK30,$AF$15:$AI$42,4,FALSE)&lt;&gt;0,IF(AL30&lt;&gt;"",VLOOKUP(AL30,'CUST DATAB'!E:F,2,FALSE),""),""),"")</f>
        <v/>
      </c>
      <c r="AN30" s="246" t="str">
        <f t="shared" si="2"/>
        <v/>
      </c>
      <c r="AO30" s="247" t="str">
        <f t="shared" si="3"/>
        <v/>
      </c>
      <c r="AP30" s="247" t="str">
        <f t="shared" si="7"/>
        <v/>
      </c>
      <c r="AQ30" s="113"/>
    </row>
    <row r="31" spans="1:43" ht="15.75" customHeight="1" x14ac:dyDescent="0.3">
      <c r="A31">
        <v>17</v>
      </c>
      <c r="B31" s="259" t="str">
        <f>IFERROR(VLOOKUP(D31,LIST!$A$2:$B$86,2,FALSE),"")</f>
        <v/>
      </c>
      <c r="C31" s="56"/>
      <c r="D31" s="315"/>
      <c r="E31" s="371"/>
      <c r="F31" s="371"/>
      <c r="G31" s="371"/>
      <c r="H31" s="315"/>
      <c r="I31" s="315"/>
      <c r="J31" s="316"/>
      <c r="K31" s="309"/>
      <c r="L31" s="226">
        <f>_xlfn.IFNA(SUM(IF($D$6=$J$44,VLOOKUP($D31,'FL COST'!$A$1:$G$81,2,FALSE),IF($D$6=$J$45,VLOOKUP($D31,'FL COST'!$A$1:$G$81,3,FALSE),IF($D$6=$J$46,VLOOKUP($D31,'FL COST'!$A$1:$G$81,4,FALSE),IF($D$6=$J$47,VLOOKUP($D31,'FL COST'!$A$1:$G$81,5,FALSE),IF($D$6=$J$48,VLOOKUP($D31,'FL COST'!$A$1:$G$81,6,FALSE),IF($D$6=$J$49,VLOOKUP($D31,'FL COST'!$A$1:$G$81,7,FALSE),0))))))+IF(E31="Y",0.02,0)+IF(F31="Y",0.02,0)),0)</f>
        <v>0</v>
      </c>
      <c r="M31" s="233">
        <f t="shared" si="4"/>
        <v>0</v>
      </c>
      <c r="N31" s="63">
        <f>IFERROR(SUM($C31/VLOOKUP($D31,PACK!A:B,2,FALSE)),0)</f>
        <v>0</v>
      </c>
      <c r="O31" s="63">
        <f>IFERROR(SUM($C31/VLOOKUP($D31,PACK!A:B,2,FALSE)),0)</f>
        <v>0</v>
      </c>
      <c r="P31" s="21" t="e">
        <f>C31*1/VLOOKUP(D31,PACK!A:B,9,FALSE)</f>
        <v>#N/A</v>
      </c>
      <c r="Q31" s="22">
        <f t="shared" si="5"/>
        <v>0</v>
      </c>
      <c r="R31" s="51" t="b">
        <f>ISNUMBER(MATCH("TNT_"&amp;B31,TINTED!$B$1:$Y$1,0))</f>
        <v>0</v>
      </c>
      <c r="S31" s="51" t="b">
        <f>ISNUMBER(MATCH("GLT_"&amp;B31,GLITTERED!$B$1:$S$1,0))</f>
        <v>0</v>
      </c>
      <c r="T31" s="51"/>
      <c r="U31" s="51" t="b">
        <f>ISNUMBER(MATCH("BC_"&amp;B31,BICOLOR!$B$1:$Y$1,0))</f>
        <v>0</v>
      </c>
      <c r="V31" s="51"/>
      <c r="W31" s="116" t="str">
        <f t="shared" si="1"/>
        <v/>
      </c>
      <c r="X31" s="51" t="str">
        <f t="shared" si="6"/>
        <v>NO</v>
      </c>
      <c r="Y31" s="260"/>
      <c r="Z31" s="559" t="s">
        <v>85</v>
      </c>
      <c r="AA31" s="559"/>
      <c r="AB31" s="115"/>
      <c r="AC31" s="56"/>
      <c r="AD31" s="239" t="str">
        <f t="shared" si="8"/>
        <v/>
      </c>
      <c r="AE31" s="55" t="s">
        <v>85</v>
      </c>
      <c r="AF31" s="55"/>
      <c r="AG31" s="31" t="s">
        <v>59</v>
      </c>
      <c r="AH31" s="235">
        <f>IF(AND($AA$40="y",$Y$43="WP"),(VLOOKUP(AH29&amp;" _ "&amp;$AA$41,LIST!$A$183:$J$224,MATCH($D$6,LIST!$A$182:$J$182,0),FALSE)-VLOOKUP($AA$42,LIST!$A$130:$H$141,5,FALSE)-VLOOKUP($AA$42,LIST!$A$130:$H$141,8,FALSE))/$AB$45,IF(AND($AA$40="y",$Y$43="ARR"),VLOOKUP(AH29&amp;" _ "&amp;$AA$41,LIST!$A$183:$J$224,MATCH($D$6,LIST!$A$182:$J$182,0),FALSE),0))</f>
        <v>0</v>
      </c>
      <c r="AI31" s="556"/>
      <c r="AJ31" s="266">
        <v>17</v>
      </c>
      <c r="AK31" s="244" t="str">
        <f>IFERROR(VLOOKUP(AJ31&amp;"-"&amp;$D$7,'CUST DATAB'!B:E,3,FALSE),"")</f>
        <v/>
      </c>
      <c r="AL31" s="248" t="str">
        <f>IFERROR(VLOOKUP(AJ31&amp;"-"&amp;$D$7,'CUST DATAB'!B:E,4,FALSE),"")</f>
        <v/>
      </c>
      <c r="AM31" s="246" t="str">
        <f>IFERROR(IF(VLOOKUP($AK31,$AF$15:$AI$42,4,FALSE)&lt;&gt;0,IF(AL31&lt;&gt;"",VLOOKUP(AL31,'CUST DATAB'!E:F,2,FALSE),""),""),"")</f>
        <v/>
      </c>
      <c r="AN31" s="246" t="str">
        <f t="shared" si="2"/>
        <v/>
      </c>
      <c r="AO31" s="247" t="str">
        <f t="shared" si="3"/>
        <v/>
      </c>
      <c r="AP31" s="247" t="str">
        <f t="shared" si="7"/>
        <v/>
      </c>
      <c r="AQ31" s="113"/>
    </row>
    <row r="32" spans="1:43" ht="16.5" customHeight="1" thickBot="1" x14ac:dyDescent="0.35">
      <c r="A32">
        <v>18</v>
      </c>
      <c r="B32" s="259" t="str">
        <f>IFERROR(VLOOKUP(D32,LIST!$A$2:$B$86,2,FALSE),"")</f>
        <v/>
      </c>
      <c r="C32" s="56"/>
      <c r="D32" s="315"/>
      <c r="E32" s="371"/>
      <c r="F32" s="371"/>
      <c r="G32" s="371"/>
      <c r="H32" s="315"/>
      <c r="I32" s="315"/>
      <c r="J32" s="316"/>
      <c r="K32" s="309"/>
      <c r="L32" s="226">
        <f>_xlfn.IFNA(SUM(IF($D$6=$J$44,VLOOKUP($D32,'FL COST'!$A$1:$G$81,2,FALSE),IF($D$6=$J$45,VLOOKUP($D32,'FL COST'!$A$1:$G$81,3,FALSE),IF($D$6=$J$46,VLOOKUP($D32,'FL COST'!$A$1:$G$81,4,FALSE),IF($D$6=$J$47,VLOOKUP($D32,'FL COST'!$A$1:$G$81,5,FALSE),IF($D$6=$J$48,VLOOKUP($D32,'FL COST'!$A$1:$G$81,6,FALSE),IF($D$6=$J$49,VLOOKUP($D32,'FL COST'!$A$1:$G$81,7,FALSE),0))))))+IF(E32="Y",0.02,0)+IF(F32="Y",0.02,0)),0)</f>
        <v>0</v>
      </c>
      <c r="M32" s="233">
        <f t="shared" si="4"/>
        <v>0</v>
      </c>
      <c r="N32" s="63">
        <f>IFERROR(SUM($C32/VLOOKUP($D32,PACK!A:B,2,FALSE)),0)</f>
        <v>0</v>
      </c>
      <c r="O32" s="63">
        <f>IFERROR(SUM($C32/VLOOKUP($D32,PACK!A:B,2,FALSE)),0)</f>
        <v>0</v>
      </c>
      <c r="P32" s="21" t="e">
        <f>C32*1/VLOOKUP(D32,PACK!A:B,9,FALSE)</f>
        <v>#N/A</v>
      </c>
      <c r="Q32" s="22">
        <f t="shared" si="5"/>
        <v>0</v>
      </c>
      <c r="R32" s="51" t="b">
        <f>ISNUMBER(MATCH("TNT_"&amp;B32,TINTED!$B$1:$Y$1,0))</f>
        <v>0</v>
      </c>
      <c r="S32" s="51" t="b">
        <f>ISNUMBER(MATCH("GLT_"&amp;B32,GLITTERED!$B$1:$S$1,0))</f>
        <v>0</v>
      </c>
      <c r="T32" s="51"/>
      <c r="U32" s="51" t="b">
        <f>ISNUMBER(MATCH("BC_"&amp;B32,BICOLOR!$B$1:$Y$1,0))</f>
        <v>0</v>
      </c>
      <c r="V32" s="51"/>
      <c r="W32" s="116" t="str">
        <f t="shared" si="1"/>
        <v/>
      </c>
      <c r="X32" s="51" t="str">
        <f t="shared" si="6"/>
        <v>NO</v>
      </c>
      <c r="Y32" s="260"/>
      <c r="Z32" s="122" t="s">
        <v>86</v>
      </c>
      <c r="AD32" s="252">
        <f>+SUM(AD18:AD31)</f>
        <v>0.56400000000000006</v>
      </c>
      <c r="AG32" s="32" t="s">
        <v>62</v>
      </c>
      <c r="AH32" s="236">
        <f>+$AD$34+$AD$48+AH30+AH31</f>
        <v>0.56400000000000006</v>
      </c>
      <c r="AI32" s="557"/>
      <c r="AJ32" s="266">
        <v>18</v>
      </c>
      <c r="AK32" s="244" t="str">
        <f>IFERROR(VLOOKUP(AJ32&amp;"-"&amp;$D$7,'CUST DATAB'!B:E,3,FALSE),"")</f>
        <v/>
      </c>
      <c r="AL32" s="248" t="str">
        <f>IFERROR(VLOOKUP(AJ32&amp;"-"&amp;$D$7,'CUST DATAB'!B:E,4,FALSE),"")</f>
        <v/>
      </c>
      <c r="AM32" s="246" t="str">
        <f>IFERROR(IF(VLOOKUP($AK32,$AF$15:$AI$42,4,FALSE)&lt;&gt;0,IF(AL32&lt;&gt;"",VLOOKUP(AL32,'CUST DATAB'!E:F,2,FALSE),""),""),"")</f>
        <v/>
      </c>
      <c r="AN32" s="246" t="str">
        <f t="shared" si="2"/>
        <v/>
      </c>
      <c r="AO32" s="247" t="str">
        <f t="shared" si="3"/>
        <v/>
      </c>
      <c r="AP32" s="247" t="str">
        <f t="shared" si="7"/>
        <v/>
      </c>
      <c r="AQ32" s="113"/>
    </row>
    <row r="33" spans="1:43" x14ac:dyDescent="0.3">
      <c r="A33">
        <v>19</v>
      </c>
      <c r="B33" s="259" t="str">
        <f>IFERROR(VLOOKUP(D33,LIST!$A$2:$B$86,2,FALSE),"")</f>
        <v/>
      </c>
      <c r="C33" s="56"/>
      <c r="D33" s="315"/>
      <c r="E33" s="371"/>
      <c r="F33" s="371"/>
      <c r="G33" s="371"/>
      <c r="H33" s="315"/>
      <c r="I33" s="315"/>
      <c r="J33" s="316"/>
      <c r="K33" s="309"/>
      <c r="L33" s="226">
        <f>_xlfn.IFNA(SUM(IF($D$6=$J$44,VLOOKUP($D33,'FL COST'!$A$1:$G$81,2,FALSE),IF($D$6=$J$45,VLOOKUP($D33,'FL COST'!$A$1:$G$81,3,FALSE),IF($D$6=$J$46,VLOOKUP($D33,'FL COST'!$A$1:$G$81,4,FALSE),IF($D$6=$J$47,VLOOKUP($D33,'FL COST'!$A$1:$G$81,5,FALSE),IF($D$6=$J$48,VLOOKUP($D33,'FL COST'!$A$1:$G$81,6,FALSE),IF($D$6=$J$49,VLOOKUP($D33,'FL COST'!$A$1:$G$81,7,FALSE),0))))))+IF(E33="Y",0.02,0)+IF(F33="Y",0.02,0)),0)</f>
        <v>0</v>
      </c>
      <c r="M33" s="233">
        <f t="shared" si="4"/>
        <v>0</v>
      </c>
      <c r="N33" s="63">
        <f>IFERROR(SUM($C33/VLOOKUP($D33,PACK!A:B,2,FALSE)),0)</f>
        <v>0</v>
      </c>
      <c r="O33" s="63">
        <f>IFERROR(SUM($C33/VLOOKUP($D33,PACK!A:B,2,FALSE)),0)</f>
        <v>0</v>
      </c>
      <c r="P33" s="21" t="e">
        <f>C33*1/VLOOKUP(D33,PACK!A:B,9,FALSE)</f>
        <v>#N/A</v>
      </c>
      <c r="Q33" s="22">
        <f t="shared" si="5"/>
        <v>0</v>
      </c>
      <c r="R33" s="51" t="b">
        <f>ISNUMBER(MATCH("TNT_"&amp;B33,TINTED!$B$1:$Y$1,0))</f>
        <v>0</v>
      </c>
      <c r="S33" s="51" t="b">
        <f>ISNUMBER(MATCH("GLT_"&amp;B33,GLITTERED!$B$1:$S$1,0))</f>
        <v>0</v>
      </c>
      <c r="T33" s="51"/>
      <c r="U33" s="51" t="b">
        <f>ISNUMBER(MATCH("BC_"&amp;B33,BICOLOR!$B$1:$Y$1,0))</f>
        <v>0</v>
      </c>
      <c r="V33" s="51"/>
      <c r="W33" s="116" t="str">
        <f t="shared" si="1"/>
        <v/>
      </c>
      <c r="X33" s="51" t="str">
        <f t="shared" si="6"/>
        <v>NO</v>
      </c>
      <c r="Y33" s="260"/>
      <c r="Z33" s="126"/>
      <c r="AA33" s="126"/>
      <c r="AB33" s="126"/>
      <c r="AC33" s="126"/>
      <c r="AD33" s="126"/>
      <c r="AJ33" s="266">
        <v>19</v>
      </c>
      <c r="AK33" s="244" t="str">
        <f>IFERROR(VLOOKUP(AJ33&amp;"-"&amp;$D$7,'CUST DATAB'!B:E,3,FALSE),"")</f>
        <v/>
      </c>
      <c r="AL33" s="248" t="str">
        <f>IFERROR(VLOOKUP(AJ33&amp;"-"&amp;$D$7,'CUST DATAB'!B:E,4,FALSE),"")</f>
        <v/>
      </c>
      <c r="AM33" s="246" t="str">
        <f>IFERROR(IF(VLOOKUP($AK33,$AF$15:$AI$42,4,FALSE)&lt;&gt;0,IF(AL33&lt;&gt;"",VLOOKUP(AL33,'CUST DATAB'!E:F,2,FALSE),""),""),"")</f>
        <v/>
      </c>
      <c r="AN33" s="246" t="str">
        <f t="shared" si="2"/>
        <v/>
      </c>
      <c r="AO33" s="247" t="str">
        <f t="shared" si="3"/>
        <v/>
      </c>
      <c r="AP33" s="247" t="str">
        <f t="shared" si="7"/>
        <v/>
      </c>
      <c r="AQ33" s="113"/>
    </row>
    <row r="34" spans="1:43" ht="15" customHeight="1" thickBot="1" x14ac:dyDescent="0.35">
      <c r="A34">
        <v>20</v>
      </c>
      <c r="B34" s="259" t="str">
        <f>IFERROR(VLOOKUP(D34,LIST!$A$2:$B$86,2,FALSE),"")</f>
        <v/>
      </c>
      <c r="C34" s="56"/>
      <c r="D34" s="315"/>
      <c r="E34" s="371"/>
      <c r="F34" s="371"/>
      <c r="G34" s="371"/>
      <c r="H34" s="315"/>
      <c r="I34" s="315"/>
      <c r="J34" s="316"/>
      <c r="K34" s="309"/>
      <c r="L34" s="226">
        <f>_xlfn.IFNA(SUM(IF($D$6=$J$44,VLOOKUP($D34,'FL COST'!$A$1:$G$81,2,FALSE),IF($D$6=$J$45,VLOOKUP($D34,'FL COST'!$A$1:$G$81,3,FALSE),IF($D$6=$J$46,VLOOKUP($D34,'FL COST'!$A$1:$G$81,4,FALSE),IF($D$6=$J$47,VLOOKUP($D34,'FL COST'!$A$1:$G$81,5,FALSE),IF($D$6=$J$48,VLOOKUP($D34,'FL COST'!$A$1:$G$81,6,FALSE),IF($D$6=$J$49,VLOOKUP($D34,'FL COST'!$A$1:$G$81,7,FALSE),0))))))+IF(E34="Y",0.02,0)+IF(F34="Y",0.02,0)),0)</f>
        <v>0</v>
      </c>
      <c r="M34" s="233">
        <f t="shared" si="4"/>
        <v>0</v>
      </c>
      <c r="N34" s="63">
        <f>IFERROR(SUM($C34/VLOOKUP($D34,PACK!A:B,2,FALSE)),0)</f>
        <v>0</v>
      </c>
      <c r="O34" s="63">
        <f>IFERROR(SUM($C34/VLOOKUP($D34,PACK!A:B,2,FALSE)),0)</f>
        <v>0</v>
      </c>
      <c r="P34" s="21" t="e">
        <f>C34*1/VLOOKUP(D34,PACK!A:B,9,FALSE)</f>
        <v>#N/A</v>
      </c>
      <c r="Q34" s="22">
        <f t="shared" si="5"/>
        <v>0</v>
      </c>
      <c r="R34" s="51" t="b">
        <f>ISNUMBER(MATCH("TNT_"&amp;B34,TINTED!$B$1:$Y$1,0))</f>
        <v>0</v>
      </c>
      <c r="S34" s="51" t="b">
        <f>ISNUMBER(MATCH("GLT_"&amp;B34,GLITTERED!$B$1:$S$1,0))</f>
        <v>0</v>
      </c>
      <c r="T34" s="51"/>
      <c r="U34" s="51" t="b">
        <f>ISNUMBER(MATCH("BC_"&amp;B34,BICOLOR!$B$1:$Y$1,0))</f>
        <v>0</v>
      </c>
      <c r="V34" s="51"/>
      <c r="W34" s="116" t="str">
        <f t="shared" si="1"/>
        <v/>
      </c>
      <c r="X34" s="51" t="str">
        <f t="shared" si="6"/>
        <v>NO</v>
      </c>
      <c r="Y34" s="260"/>
      <c r="Z34" s="24" t="s">
        <v>87</v>
      </c>
      <c r="AD34" s="253">
        <f>+AD15+AD32</f>
        <v>0.56400000000000006</v>
      </c>
      <c r="AG34" s="154" t="s">
        <v>88</v>
      </c>
      <c r="AH34" s="165" t="s">
        <v>89</v>
      </c>
      <c r="AI34" s="135" t="s">
        <v>54</v>
      </c>
      <c r="AJ34" s="266">
        <v>20</v>
      </c>
      <c r="AK34" s="244" t="str">
        <f>IFERROR(VLOOKUP(AJ34&amp;"-"&amp;$D$7,'CUST DATAB'!B:E,3,FALSE),"")</f>
        <v/>
      </c>
      <c r="AL34" s="248" t="str">
        <f>IFERROR(VLOOKUP(AJ34&amp;"-"&amp;$D$7,'CUST DATAB'!B:E,4,FALSE),"")</f>
        <v/>
      </c>
      <c r="AM34" s="246" t="str">
        <f>IFERROR(IF(VLOOKUP($AK34,$AF$15:$AI$42,4,FALSE)&lt;&gt;0,IF(AL34&lt;&gt;"",VLOOKUP(AL34,'CUST DATAB'!E:F,2,FALSE),""),""),"")</f>
        <v/>
      </c>
      <c r="AN34" s="246" t="str">
        <f t="shared" si="2"/>
        <v/>
      </c>
      <c r="AO34" s="247" t="str">
        <f t="shared" si="3"/>
        <v/>
      </c>
      <c r="AP34" s="247" t="str">
        <f t="shared" si="7"/>
        <v/>
      </c>
      <c r="AQ34" s="113"/>
    </row>
    <row r="35" spans="1:43" ht="15" customHeight="1" x14ac:dyDescent="0.3">
      <c r="A35">
        <v>21</v>
      </c>
      <c r="B35" s="259" t="str">
        <f>IFERROR(VLOOKUP(D35,LIST!$A$2:$B$86,2,FALSE),"")</f>
        <v/>
      </c>
      <c r="C35" s="56"/>
      <c r="D35" s="315"/>
      <c r="E35" s="371"/>
      <c r="F35" s="371"/>
      <c r="G35" s="371"/>
      <c r="H35" s="315"/>
      <c r="I35" s="315"/>
      <c r="J35" s="316"/>
      <c r="K35" s="309"/>
      <c r="L35" s="226">
        <f>_xlfn.IFNA(SUM(IF($D$6=$J$44,VLOOKUP($D35,'FL COST'!$A$1:$G$81,2,FALSE),IF($D$6=$J$45,VLOOKUP($D35,'FL COST'!$A$1:$G$81,3,FALSE),IF($D$6=$J$46,VLOOKUP($D35,'FL COST'!$A$1:$G$81,4,FALSE),IF($D$6=$J$47,VLOOKUP($D35,'FL COST'!$A$1:$G$81,5,FALSE),IF($D$6=$J$48,VLOOKUP($D35,'FL COST'!$A$1:$G$81,6,FALSE),IF($D$6=$J$49,VLOOKUP($D35,'FL COST'!$A$1:$G$81,7,FALSE),0))))))+IF(E35="Y",0.02,0)+IF(F35="Y",0.02,0)),0)</f>
        <v>0</v>
      </c>
      <c r="M35" s="233">
        <f t="shared" si="4"/>
        <v>0</v>
      </c>
      <c r="N35" s="63">
        <f>IFERROR(SUM($C35/VLOOKUP($D35,PACK!A:B,2,FALSE)),0)</f>
        <v>0</v>
      </c>
      <c r="O35" s="63">
        <f>IFERROR(SUM($C35/VLOOKUP($D35,PACK!A:B,2,FALSE)),0)</f>
        <v>0</v>
      </c>
      <c r="P35" s="21" t="e">
        <f>C35*1/VLOOKUP(D35,PACK!A:B,9,FALSE)</f>
        <v>#N/A</v>
      </c>
      <c r="Q35" s="22">
        <f t="shared" si="5"/>
        <v>0</v>
      </c>
      <c r="R35" s="51" t="b">
        <f>ISNUMBER(MATCH("TNT_"&amp;B35,TINTED!$B$1:$Y$1,0))</f>
        <v>0</v>
      </c>
      <c r="S35" s="51" t="b">
        <f>ISNUMBER(MATCH("GLT_"&amp;B35,GLITTERED!$B$1:$S$1,0))</f>
        <v>0</v>
      </c>
      <c r="T35" s="51"/>
      <c r="U35" s="51" t="b">
        <f>ISNUMBER(MATCH("BC_"&amp;B35,BICOLOR!$B$1:$Y$1,0))</f>
        <v>0</v>
      </c>
      <c r="V35" s="51"/>
      <c r="W35" s="116" t="str">
        <f t="shared" si="1"/>
        <v/>
      </c>
      <c r="X35" s="51" t="str">
        <f t="shared" si="6"/>
        <v>NO</v>
      </c>
      <c r="Y35" s="260"/>
      <c r="Z35" s="25" t="s">
        <v>90</v>
      </c>
      <c r="AA35" s="23"/>
      <c r="AD35" s="254">
        <f>(AH15*AI15)+(AH20*AI20)+(AH25*AI25)+(AH30*AI30)+(AH35*AI35)+(AH40*AI40)</f>
        <v>0</v>
      </c>
      <c r="AF35" t="s">
        <v>88</v>
      </c>
      <c r="AG35" s="30" t="s">
        <v>57</v>
      </c>
      <c r="AH35" s="234">
        <f>IFERROR(VLOOKUP($Z$6,DP_FB_RELATION,4,FALSE)*VLOOKUP(AH34,LIST!$A$121:$C$126,3,FALSE)/VLOOKUP("FULL",DP_FB_RELATION,4,FALSE)/$AA$9,0)</f>
        <v>0</v>
      </c>
      <c r="AI35" s="555">
        <v>0</v>
      </c>
      <c r="AJ35" s="266">
        <v>21</v>
      </c>
      <c r="AK35" s="244" t="str">
        <f>IFERROR(VLOOKUP(AJ35&amp;"-"&amp;$D$7,'CUST DATAB'!B:E,3,FALSE),"")</f>
        <v/>
      </c>
      <c r="AL35" s="248" t="str">
        <f>IFERROR(VLOOKUP(AJ35&amp;"-"&amp;$D$7,'CUST DATAB'!B:E,4,FALSE),"")</f>
        <v/>
      </c>
      <c r="AM35" s="246" t="str">
        <f>IFERROR(IF(VLOOKUP($AK35,$AF$15:$AI$42,4,FALSE)&lt;&gt;0,IF(AL35&lt;&gt;"",VLOOKUP(AL35,'CUST DATAB'!E:F,2,FALSE),""),""),"")</f>
        <v/>
      </c>
      <c r="AN35" s="246" t="str">
        <f t="shared" si="2"/>
        <v/>
      </c>
      <c r="AO35" s="247" t="str">
        <f t="shared" si="3"/>
        <v/>
      </c>
      <c r="AP35" s="247" t="str">
        <f t="shared" si="7"/>
        <v/>
      </c>
      <c r="AQ35" s="113"/>
    </row>
    <row r="36" spans="1:43" ht="15.75" customHeight="1" x14ac:dyDescent="0.3">
      <c r="A36">
        <v>22</v>
      </c>
      <c r="B36" s="259" t="str">
        <f>IFERROR(VLOOKUP(D36,LIST!$A$2:$B$86,2,FALSE),"")</f>
        <v/>
      </c>
      <c r="C36" s="56"/>
      <c r="D36" s="315"/>
      <c r="E36" s="371"/>
      <c r="F36" s="371"/>
      <c r="G36" s="371"/>
      <c r="H36" s="315"/>
      <c r="I36" s="315"/>
      <c r="J36" s="316"/>
      <c r="K36" s="309"/>
      <c r="L36" s="226">
        <f>_xlfn.IFNA(SUM(IF($D$6=$J$44,VLOOKUP($D36,'FL COST'!$A$1:$G$81,2,FALSE),IF($D$6=$J$45,VLOOKUP($D36,'FL COST'!$A$1:$G$81,3,FALSE),IF($D$6=$J$46,VLOOKUP($D36,'FL COST'!$A$1:$G$81,4,FALSE),IF($D$6=$J$47,VLOOKUP($D36,'FL COST'!$A$1:$G$81,5,FALSE),IF($D$6=$J$48,VLOOKUP($D36,'FL COST'!$A$1:$G$81,6,FALSE),IF($D$6=$J$49,VLOOKUP($D36,'FL COST'!$A$1:$G$81,7,FALSE),0))))))+IF(E36="Y",0.02,0)+IF(F36="Y",0.02,0)),0)</f>
        <v>0</v>
      </c>
      <c r="M36" s="233">
        <f t="shared" si="4"/>
        <v>0</v>
      </c>
      <c r="N36" s="63">
        <f>IFERROR(SUM($C36/VLOOKUP($D36,PACK!A:B,2,FALSE)),0)</f>
        <v>0</v>
      </c>
      <c r="O36" s="63">
        <f>IFERROR(SUM($C36/VLOOKUP($D36,PACK!A:B,2,FALSE)),0)</f>
        <v>0</v>
      </c>
      <c r="P36" s="21" t="e">
        <f>C36*1/VLOOKUP(D36,PACK!A:B,9,FALSE)</f>
        <v>#N/A</v>
      </c>
      <c r="Q36" s="22">
        <f t="shared" si="5"/>
        <v>0</v>
      </c>
      <c r="R36" s="51" t="b">
        <f>ISNUMBER(MATCH("TNT_"&amp;B36,TINTED!$B$1:$Y$1,0))</f>
        <v>0</v>
      </c>
      <c r="S36" s="51" t="b">
        <f>ISNUMBER(MATCH("GLT_"&amp;B36,GLITTERED!$B$1:$S$1,0))</f>
        <v>0</v>
      </c>
      <c r="T36" s="51"/>
      <c r="U36" s="51" t="b">
        <f>ISNUMBER(MATCH("BC_"&amp;B36,BICOLOR!$B$1:$Y$1,0))</f>
        <v>0</v>
      </c>
      <c r="V36" s="51"/>
      <c r="W36" s="116" t="str">
        <f t="shared" si="1"/>
        <v/>
      </c>
      <c r="X36" s="51" t="str">
        <f t="shared" si="6"/>
        <v>NO</v>
      </c>
      <c r="Y36" s="260"/>
      <c r="Z36" s="25" t="s">
        <v>91</v>
      </c>
      <c r="AA36" s="23"/>
      <c r="AD36" s="254">
        <f>IF(D10="BOUQUET",SUM(K3*0.06),0)</f>
        <v>0</v>
      </c>
      <c r="AG36" s="31" t="s">
        <v>59</v>
      </c>
      <c r="AH36" s="235">
        <f>IF(AND($AA$40="y",$Y$43="WP"),(VLOOKUP(AH34&amp;" _ "&amp;$AA$41,LIST!$A$183:$J$224,MATCH($D$6,LIST!$A$182:$J$182,0),FALSE)-VLOOKUP($AA$42,LIST!$A$130:$H$141,5,FALSE)-VLOOKUP($AA$42,LIST!$A$130:$H$141,8,FALSE))/$AB$45,IF(AND($AA$40="y",$Y$43="ARR"),VLOOKUP(AH34&amp;" _ "&amp;$AA$41,LIST!$A$183:$J$224,MATCH($D$6,LIST!$A$182:$J$182,0),FALSE),0))</f>
        <v>0</v>
      </c>
      <c r="AI36" s="556"/>
      <c r="AJ36" s="266">
        <v>22</v>
      </c>
      <c r="AK36" s="244" t="str">
        <f>IFERROR(VLOOKUP(AJ36&amp;"-"&amp;$D$7,'CUST DATAB'!B:E,3,FALSE),"")</f>
        <v/>
      </c>
      <c r="AL36" s="248" t="str">
        <f>IFERROR(VLOOKUP(AJ36&amp;"-"&amp;$D$7,'CUST DATAB'!B:E,4,FALSE),"")</f>
        <v/>
      </c>
      <c r="AM36" s="246" t="str">
        <f>IFERROR(IF(VLOOKUP($AK36,$AF$15:$AI$42,4,FALSE)&lt;&gt;0,IF(AL36&lt;&gt;"",VLOOKUP(AL36,'CUST DATAB'!E:F,2,FALSE),""),""),"")</f>
        <v/>
      </c>
      <c r="AN36" s="246" t="str">
        <f t="shared" si="2"/>
        <v/>
      </c>
      <c r="AO36" s="247" t="str">
        <f t="shared" si="3"/>
        <v/>
      </c>
      <c r="AP36" s="247" t="str">
        <f t="shared" si="7"/>
        <v/>
      </c>
      <c r="AQ36" s="113"/>
    </row>
    <row r="37" spans="1:43" ht="15.75" customHeight="1" thickBot="1" x14ac:dyDescent="0.35">
      <c r="A37">
        <v>23</v>
      </c>
      <c r="B37" s="259" t="str">
        <f>IFERROR(VLOOKUP(D37,LIST!$A$2:$B$86,2,FALSE),"")</f>
        <v/>
      </c>
      <c r="C37" s="56"/>
      <c r="D37" s="315"/>
      <c r="E37" s="371"/>
      <c r="F37" s="371"/>
      <c r="G37" s="371"/>
      <c r="H37" s="315"/>
      <c r="I37" s="315"/>
      <c r="J37" s="316"/>
      <c r="K37" s="309"/>
      <c r="L37" s="226">
        <f>_xlfn.IFNA(SUM(IF($D$6=$J$44,VLOOKUP($D37,'FL COST'!$A$1:$G$81,2,FALSE),IF($D$6=$J$45,VLOOKUP($D37,'FL COST'!$A$1:$G$81,3,FALSE),IF($D$6=$J$46,VLOOKUP($D37,'FL COST'!$A$1:$G$81,4,FALSE),IF($D$6=$J$47,VLOOKUP($D37,'FL COST'!$A$1:$G$81,5,FALSE),IF($D$6=$J$48,VLOOKUP($D37,'FL COST'!$A$1:$G$81,6,FALSE),IF($D$6=$J$49,VLOOKUP($D37,'FL COST'!$A$1:$G$81,7,FALSE),0))))))+IF(E37="Y",0.02,0)+IF(F37="Y",0.02,0)),0)</f>
        <v>0</v>
      </c>
      <c r="M37" s="233">
        <f t="shared" si="4"/>
        <v>0</v>
      </c>
      <c r="N37" s="63">
        <f>IFERROR(SUM($C37/VLOOKUP($D37,PACK!A:B,2,FALSE)),0)</f>
        <v>0</v>
      </c>
      <c r="O37" s="63">
        <f>IFERROR(SUM($C37/VLOOKUP($D37,PACK!A:B,2,FALSE)),0)</f>
        <v>0</v>
      </c>
      <c r="P37" s="21" t="e">
        <f>C37*1/VLOOKUP(D37,PACK!A:B,9,FALSE)</f>
        <v>#N/A</v>
      </c>
      <c r="Q37" s="22">
        <f t="shared" si="5"/>
        <v>0</v>
      </c>
      <c r="R37" s="51" t="b">
        <f>ISNUMBER(MATCH("TNT_"&amp;B37,TINTED!$B$1:$Y$1,0))</f>
        <v>0</v>
      </c>
      <c r="S37" s="51" t="b">
        <f>ISNUMBER(MATCH("GLT_"&amp;B37,GLITTERED!$B$1:$S$1,0))</f>
        <v>0</v>
      </c>
      <c r="T37" s="51"/>
      <c r="U37" s="51" t="b">
        <f>ISNUMBER(MATCH("BC_"&amp;B37,BICOLOR!$B$1:$Y$1,0))</f>
        <v>0</v>
      </c>
      <c r="V37" s="51"/>
      <c r="W37" s="116" t="str">
        <f t="shared" si="1"/>
        <v/>
      </c>
      <c r="X37" s="51" t="str">
        <f t="shared" si="6"/>
        <v>NO</v>
      </c>
      <c r="Y37" s="260"/>
      <c r="Z37" s="24" t="s">
        <v>92</v>
      </c>
      <c r="AA37" s="129"/>
      <c r="AB37" s="130"/>
      <c r="AD37" s="253">
        <f>SUM(AD34:AD36)</f>
        <v>0.56400000000000006</v>
      </c>
      <c r="AG37" s="32" t="s">
        <v>62</v>
      </c>
      <c r="AH37" s="236">
        <f>+$AD$34+$AD$48+AH35+AH36</f>
        <v>0.56400000000000006</v>
      </c>
      <c r="AI37" s="557"/>
      <c r="AJ37" s="266">
        <v>23</v>
      </c>
      <c r="AK37" s="244" t="str">
        <f>IFERROR(VLOOKUP(AJ37&amp;"-"&amp;$D$7,'CUST DATAB'!B:E,3,FALSE),"")</f>
        <v/>
      </c>
      <c r="AL37" s="248" t="str">
        <f>IFERROR(VLOOKUP(AJ37&amp;"-"&amp;$D$7,'CUST DATAB'!B:E,4,FALSE),"")</f>
        <v/>
      </c>
      <c r="AM37" s="246" t="str">
        <f>IFERROR(IF(VLOOKUP($AK37,$AF$15:$AI$42,4,FALSE)&lt;&gt;0,IF(AL37&lt;&gt;"",VLOOKUP(AL37,'CUST DATAB'!E:F,2,FALSE),""),""),"")</f>
        <v/>
      </c>
      <c r="AN37" s="246" t="str">
        <f t="shared" si="2"/>
        <v/>
      </c>
      <c r="AO37" s="247" t="str">
        <f t="shared" si="3"/>
        <v/>
      </c>
      <c r="AP37" s="247" t="str">
        <f t="shared" si="7"/>
        <v/>
      </c>
      <c r="AQ37" s="113"/>
    </row>
    <row r="38" spans="1:43" x14ac:dyDescent="0.3">
      <c r="A38">
        <v>24</v>
      </c>
      <c r="B38" s="259" t="str">
        <f>IFERROR(VLOOKUP(D38,LIST!$A$2:$B$86,2,FALSE),"")</f>
        <v/>
      </c>
      <c r="C38" s="56"/>
      <c r="D38" s="317"/>
      <c r="E38" s="371"/>
      <c r="F38" s="371"/>
      <c r="G38" s="371"/>
      <c r="H38" s="317"/>
      <c r="I38" s="317"/>
      <c r="J38" s="317"/>
      <c r="K38" s="310"/>
      <c r="L38" s="274"/>
      <c r="M38" s="233">
        <f t="shared" si="4"/>
        <v>0</v>
      </c>
      <c r="N38" s="63">
        <f>+$C38*0.0025</f>
        <v>0</v>
      </c>
      <c r="O38" s="63">
        <f>+$C38*0.0025</f>
        <v>0</v>
      </c>
      <c r="P38" s="21">
        <f>C38*1/120</f>
        <v>0</v>
      </c>
      <c r="Q38" s="22">
        <f t="shared" si="5"/>
        <v>0</v>
      </c>
      <c r="R38" s="51" t="b">
        <f>ISNUMBER(MATCH("TNT_"&amp;B38,TINTED!$B$1:$Y$1,0))</f>
        <v>0</v>
      </c>
      <c r="S38" s="51" t="b">
        <f>ISNUMBER(MATCH("GLT_"&amp;B38,GLITTERED!$B$1:$S$1,0))</f>
        <v>0</v>
      </c>
      <c r="T38" s="51"/>
      <c r="U38" s="51" t="b">
        <f>ISNUMBER(MATCH("BC_"&amp;B38,BICOLOR!$B$1:$Y$1,0))</f>
        <v>0</v>
      </c>
      <c r="V38" s="51"/>
      <c r="W38" s="116" t="str">
        <f t="shared" si="1"/>
        <v/>
      </c>
      <c r="X38" s="51" t="str">
        <f t="shared" si="6"/>
        <v>NO</v>
      </c>
      <c r="Y38" s="259" t="str">
        <f>IF(AA38="y","WP_TYPE","no_wp")</f>
        <v>no_wp</v>
      </c>
      <c r="Z38" s="126"/>
      <c r="AA38" s="126"/>
      <c r="AB38" s="126"/>
      <c r="AC38" s="126"/>
      <c r="AD38" s="126"/>
      <c r="AJ38" s="266">
        <v>24</v>
      </c>
      <c r="AK38" s="244" t="str">
        <f>IFERROR(VLOOKUP(AJ38&amp;"-"&amp;$D$7,'CUST DATAB'!B:E,3,FALSE),"")</f>
        <v/>
      </c>
      <c r="AL38" s="248" t="str">
        <f>IFERROR(VLOOKUP(AJ38&amp;"-"&amp;$D$7,'CUST DATAB'!B:E,4,FALSE),"")</f>
        <v/>
      </c>
      <c r="AM38" s="246" t="str">
        <f>IFERROR(IF(VLOOKUP($AK38,$AF$15:$AI$42,4,FALSE)&lt;&gt;0,IF(AL38&lt;&gt;"",VLOOKUP(AL38,'CUST DATAB'!E:F,2,FALSE),""),""),"")</f>
        <v/>
      </c>
      <c r="AN38" s="246" t="str">
        <f t="shared" si="2"/>
        <v/>
      </c>
      <c r="AO38" s="247" t="str">
        <f t="shared" si="3"/>
        <v/>
      </c>
      <c r="AP38" s="247" t="str">
        <f t="shared" si="7"/>
        <v/>
      </c>
      <c r="AQ38" s="113"/>
    </row>
    <row r="39" spans="1:43" ht="15" thickBot="1" x14ac:dyDescent="0.35">
      <c r="A39">
        <v>25</v>
      </c>
      <c r="B39" s="259" t="str">
        <f>IFERROR(VLOOKUP(D39,LIST!$A$2:$B$86,2,FALSE),"")</f>
        <v/>
      </c>
      <c r="C39" s="56"/>
      <c r="D39" s="317"/>
      <c r="E39" s="371"/>
      <c r="F39" s="371"/>
      <c r="G39" s="371"/>
      <c r="H39" s="317"/>
      <c r="I39" s="317"/>
      <c r="J39" s="317"/>
      <c r="K39" s="310"/>
      <c r="L39" s="274"/>
      <c r="M39" s="233">
        <f t="shared" si="4"/>
        <v>0</v>
      </c>
      <c r="N39" s="63">
        <f t="shared" ref="N39:O41" si="9">+$C39*0.0025</f>
        <v>0</v>
      </c>
      <c r="O39" s="63">
        <f t="shared" si="9"/>
        <v>0</v>
      </c>
      <c r="P39" s="21">
        <f>C39*1/120</f>
        <v>0</v>
      </c>
      <c r="Q39" s="22">
        <f t="shared" si="5"/>
        <v>0</v>
      </c>
      <c r="R39" s="51" t="b">
        <f>ISNUMBER(MATCH("TNT_"&amp;B39,TINTED!$B$1:$Y$1,0))</f>
        <v>0</v>
      </c>
      <c r="S39" s="51" t="b">
        <f>ISNUMBER(MATCH("GLT_"&amp;B39,GLITTERED!$B$1:$S$1,0))</f>
        <v>0</v>
      </c>
      <c r="T39" s="51"/>
      <c r="U39" s="51" t="b">
        <f>ISNUMBER(MATCH("BC_"&amp;B39,BICOLOR!$B$1:$Y$1,0))</f>
        <v>0</v>
      </c>
      <c r="V39" s="51"/>
      <c r="W39" s="116" t="str">
        <f t="shared" si="1"/>
        <v/>
      </c>
      <c r="X39" s="51" t="str">
        <f t="shared" si="6"/>
        <v>NO</v>
      </c>
      <c r="Y39" s="259" t="str">
        <f>IF(AA39="y","WP_TYPE","no_wp")</f>
        <v>no_wp</v>
      </c>
      <c r="AG39" s="154" t="s">
        <v>93</v>
      </c>
      <c r="AH39" s="165" t="s">
        <v>94</v>
      </c>
      <c r="AI39" s="135"/>
      <c r="AJ39" s="266">
        <v>25</v>
      </c>
      <c r="AK39" s="244" t="str">
        <f>IFERROR(VLOOKUP(AJ39&amp;"-"&amp;$D$7,'CUST DATAB'!B:E,3,FALSE),"")</f>
        <v/>
      </c>
      <c r="AL39" s="248" t="str">
        <f>IFERROR(VLOOKUP(AJ39&amp;"-"&amp;$D$7,'CUST DATAB'!B:E,4,FALSE),"")</f>
        <v/>
      </c>
      <c r="AM39" s="246" t="str">
        <f>IFERROR(IF(VLOOKUP($AK39,$AF$15:$AI$42,4,FALSE)&lt;&gt;0,IF(AL39&lt;&gt;"",VLOOKUP(AL39,'CUST DATAB'!E:F,2,FALSE),""),""),"")</f>
        <v/>
      </c>
      <c r="AN39" s="246" t="str">
        <f t="shared" si="2"/>
        <v/>
      </c>
      <c r="AO39" s="247" t="str">
        <f t="shared" si="3"/>
        <v/>
      </c>
      <c r="AP39" s="247" t="str">
        <f t="shared" si="7"/>
        <v/>
      </c>
      <c r="AQ39" s="113"/>
    </row>
    <row r="40" spans="1:43" ht="15" customHeight="1" x14ac:dyDescent="0.3">
      <c r="A40">
        <v>26</v>
      </c>
      <c r="B40" s="259" t="str">
        <f>IFERROR(VLOOKUP(D40,LIST!$A$2:$B$86,2,FALSE),"")</f>
        <v/>
      </c>
      <c r="C40" s="56"/>
      <c r="D40" s="317"/>
      <c r="E40" s="371"/>
      <c r="F40" s="371"/>
      <c r="G40" s="371"/>
      <c r="H40" s="317"/>
      <c r="I40" s="317"/>
      <c r="J40" s="317"/>
      <c r="K40" s="310"/>
      <c r="L40" s="274"/>
      <c r="M40" s="233">
        <f t="shared" si="4"/>
        <v>0</v>
      </c>
      <c r="N40" s="63">
        <f t="shared" si="9"/>
        <v>0</v>
      </c>
      <c r="O40" s="63">
        <f t="shared" si="9"/>
        <v>0</v>
      </c>
      <c r="P40" s="21">
        <f>C40*1/120</f>
        <v>0</v>
      </c>
      <c r="Q40" s="22">
        <f t="shared" si="5"/>
        <v>0</v>
      </c>
      <c r="R40" s="51" t="b">
        <f>ISNUMBER(MATCH("TNT_"&amp;B40,TINTED!$B$1:$Y$1,0))</f>
        <v>0</v>
      </c>
      <c r="S40" s="51" t="b">
        <f>ISNUMBER(MATCH("GLT_"&amp;B40,GLITTERED!$B$1:$S$1,0))</f>
        <v>0</v>
      </c>
      <c r="T40" s="51"/>
      <c r="U40" s="51" t="b">
        <f>ISNUMBER(MATCH("BC_"&amp;B40,BICOLOR!$B$1:$Y$1,0))</f>
        <v>0</v>
      </c>
      <c r="V40" s="51"/>
      <c r="W40" s="116" t="str">
        <f t="shared" si="1"/>
        <v/>
      </c>
      <c r="X40" s="51" t="str">
        <f t="shared" si="6"/>
        <v>NO</v>
      </c>
      <c r="Y40" s="259" t="str">
        <f>IF(AA40="y","WP_TYPE","no_wp")</f>
        <v>no_wp</v>
      </c>
      <c r="Z40" s="119" t="s">
        <v>95</v>
      </c>
      <c r="AA40" s="164" t="s">
        <v>64</v>
      </c>
      <c r="AB40" s="225"/>
      <c r="AC40" t="s">
        <v>96</v>
      </c>
      <c r="AD40" s="255" t="str">
        <f>IF(AA40="y",VLOOKUP(AA42,CASES,3,FALSE),"")</f>
        <v/>
      </c>
      <c r="AF40" t="s">
        <v>93</v>
      </c>
      <c r="AG40" s="30" t="s">
        <v>57</v>
      </c>
      <c r="AH40" s="234">
        <f>IFERROR(VLOOKUP($Z$6,DP_FB_RELATION,4,FALSE)*VLOOKUP(AH39,LIST!$A$121:$C$126,3,FALSE)/VLOOKUP("FULL",DP_FB_RELATION,4,FALSE)/$AA$9,0)</f>
        <v>0</v>
      </c>
      <c r="AI40" s="555">
        <v>0</v>
      </c>
      <c r="AJ40" s="266">
        <v>26</v>
      </c>
      <c r="AK40" s="244" t="str">
        <f>IFERROR(VLOOKUP(AJ40&amp;"-"&amp;$D$7,'CUST DATAB'!B:E,3,FALSE),"")</f>
        <v/>
      </c>
      <c r="AL40" s="248" t="str">
        <f>IFERROR(VLOOKUP(AJ40&amp;"-"&amp;$D$7,'CUST DATAB'!B:E,4,FALSE),"")</f>
        <v/>
      </c>
      <c r="AM40" s="246" t="str">
        <f>IFERROR(IF(VLOOKUP($AK40,$AF$15:$AI$42,4,FALSE)&lt;&gt;0,IF(AL40&lt;&gt;"",VLOOKUP(AL40,'CUST DATAB'!E:F,2,FALSE),""),""),"")</f>
        <v/>
      </c>
      <c r="AN40" s="246" t="str">
        <f t="shared" si="2"/>
        <v/>
      </c>
      <c r="AO40" s="247" t="str">
        <f t="shared" si="3"/>
        <v/>
      </c>
      <c r="AP40" s="247" t="str">
        <f t="shared" si="7"/>
        <v/>
      </c>
      <c r="AQ40" s="113"/>
    </row>
    <row r="41" spans="1:43" ht="15.75" customHeight="1" x14ac:dyDescent="0.3">
      <c r="A41">
        <v>27</v>
      </c>
      <c r="B41" s="259" t="str">
        <f>IFERROR(VLOOKUP(D41,LIST!$A$2:$B$86,2,FALSE),"")</f>
        <v/>
      </c>
      <c r="C41" s="56"/>
      <c r="D41" s="317"/>
      <c r="E41" s="371"/>
      <c r="F41" s="371"/>
      <c r="G41" s="371"/>
      <c r="H41" s="317"/>
      <c r="I41" s="317"/>
      <c r="J41" s="317"/>
      <c r="K41" s="310"/>
      <c r="L41" s="274"/>
      <c r="M41" s="233">
        <f t="shared" si="4"/>
        <v>0</v>
      </c>
      <c r="N41" s="63">
        <f t="shared" si="9"/>
        <v>0</v>
      </c>
      <c r="O41" s="63">
        <f t="shared" si="9"/>
        <v>0</v>
      </c>
      <c r="P41" s="21">
        <f>C41*1/120</f>
        <v>0</v>
      </c>
      <c r="Q41" s="22">
        <f t="shared" si="5"/>
        <v>0</v>
      </c>
      <c r="R41" s="51" t="b">
        <f>ISNUMBER(MATCH("TNT_"&amp;B41,TINTED!$B$1:$Y$1,0))</f>
        <v>0</v>
      </c>
      <c r="S41" s="51" t="b">
        <f>ISNUMBER(MATCH("GLT_"&amp;B41,GLITTERED!$B$1:$S$1,0))</f>
        <v>0</v>
      </c>
      <c r="T41" s="51"/>
      <c r="U41" s="51" t="b">
        <f>ISNUMBER(MATCH("BC_"&amp;B41,BICOLOR!$B$1:$Y$1,0))</f>
        <v>0</v>
      </c>
      <c r="V41" s="51"/>
      <c r="W41" s="116" t="str">
        <f t="shared" si="1"/>
        <v/>
      </c>
      <c r="X41" s="51" t="str">
        <f t="shared" si="6"/>
        <v>NO</v>
      </c>
      <c r="Y41" s="260" t="b">
        <f>IF(Y40="no_wp",TRUE,FALSE)</f>
        <v>1</v>
      </c>
      <c r="Z41" s="119" t="str">
        <f>IF(AA40="Y","WP Pack Type","")</f>
        <v/>
      </c>
      <c r="AA41" s="560" t="s">
        <v>97</v>
      </c>
      <c r="AB41" s="560"/>
      <c r="AC41" t="s">
        <v>98</v>
      </c>
      <c r="AD41" s="256" t="str">
        <f>IF(AA40="y",VLOOKUP(AA42,CASES,4,FALSE),"")</f>
        <v/>
      </c>
      <c r="AG41" s="31" t="s">
        <v>59</v>
      </c>
      <c r="AH41" s="235">
        <f>IF(AND($AA$40="y",$Y$43="WP"),(VLOOKUP(AH39&amp;" _ "&amp;$AA$41,LIST!$A$183:$J$224,MATCH($D$6,LIST!$A$182:$J$182,0),FALSE)-VLOOKUP($AA$42,LIST!$A$130:$H$141,5,FALSE)-VLOOKUP($AA$42,LIST!$A$130:$H$141,8,FALSE))/$AB$45,IF(AND($AA$40="y",$Y$43="ARR"),VLOOKUP(AH39&amp;" _ "&amp;$AA$41,LIST!$A$183:$J$224,MATCH($D$6,LIST!$A$182:$J$182,0),FALSE),0))</f>
        <v>0</v>
      </c>
      <c r="AI41" s="556"/>
      <c r="AJ41" s="266"/>
      <c r="AK41" s="244"/>
      <c r="AL41" s="248"/>
      <c r="AM41" s="246"/>
      <c r="AN41" s="246" t="str">
        <f t="shared" si="2"/>
        <v/>
      </c>
      <c r="AO41" s="247"/>
      <c r="AP41" s="247"/>
      <c r="AQ41" s="113"/>
    </row>
    <row r="42" spans="1:43" ht="15.75" customHeight="1" thickBot="1" x14ac:dyDescent="0.35">
      <c r="B42" s="380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V42" s="51"/>
      <c r="W42" s="116"/>
      <c r="X42" s="51"/>
      <c r="Y42" s="259" t="str">
        <f>VLOOKUP(AA41,LIST!$A$164:$B$169,2,FALSE)</f>
        <v>WP_REG</v>
      </c>
      <c r="Z42" s="119" t="str">
        <f>IF(AA40="Y","WP Box Type","")</f>
        <v/>
      </c>
      <c r="AA42" s="560" t="s">
        <v>99</v>
      </c>
      <c r="AB42" s="560"/>
      <c r="AC42" t="s">
        <v>100</v>
      </c>
      <c r="AD42" s="257" t="str">
        <f>IF(AA40="y",VLOOKUP(AA42,CASES,7,FALSE),"")</f>
        <v/>
      </c>
      <c r="AG42" s="32" t="s">
        <v>62</v>
      </c>
      <c r="AH42" s="236">
        <f>+$AD$34+$AD$48+AH40+AH41</f>
        <v>0.56400000000000006</v>
      </c>
      <c r="AI42" s="557"/>
      <c r="AJ42" s="266">
        <v>27</v>
      </c>
      <c r="AK42" s="244" t="str">
        <f>IFERROR(VLOOKUP(AJ42&amp;"-"&amp;$D$7,'CUST DATAB'!B:E,3,FALSE),"")</f>
        <v/>
      </c>
      <c r="AL42" s="248" t="str">
        <f>IFERROR(VLOOKUP(AJ42&amp;"-"&amp;$D$7,'CUST DATAB'!B:E,4,FALSE),"")</f>
        <v/>
      </c>
      <c r="AM42" s="246" t="str">
        <f>IFERROR(IF(VLOOKUP($AK42,$AF$15:$AI$37,4,FALSE)&lt;&gt;0,IF(AL42&lt;&gt;"",VLOOKUP(AL42,'CUST DATAB'!E:F,2,FALSE),""),""),"")</f>
        <v/>
      </c>
      <c r="AN42" s="246" t="str">
        <f t="shared" si="2"/>
        <v/>
      </c>
      <c r="AO42" s="247" t="str">
        <f t="shared" ref="AO42:AO57" si="10">IFERROR(IF(VLOOKUP($AK42,$AF$15:$AI$37,4,FALSE)&lt;&gt;0,IF(AK42&lt;&gt;"",AN42/$AA$9,""),""),"")</f>
        <v/>
      </c>
      <c r="AP42" s="247" t="str">
        <f t="shared" ref="AP42:AP57" si="11">IFERROR(IF(VLOOKUP($AK42,$AF$15:$AI$37,4,FALSE)&lt;&gt;0,IF(AL42&lt;&gt;"",$AI$2+AO42,""),""),"")</f>
        <v/>
      </c>
      <c r="AQ42" s="113"/>
    </row>
    <row r="43" spans="1:43" ht="27" customHeight="1" thickBot="1" x14ac:dyDescent="0.35">
      <c r="V43" s="51"/>
      <c r="W43" s="116"/>
      <c r="X43" s="51"/>
      <c r="Y43" s="260" t="str">
        <f>VLOOKUP(AA41,LIST!$A$164:$C$169,3,FALSE)</f>
        <v>WP</v>
      </c>
      <c r="AJ43" s="266">
        <v>28</v>
      </c>
      <c r="AK43" s="1" t="str">
        <f>IFERROR(VLOOKUP(AJ43&amp;"-"&amp;$D$7,'CUST DATAB'!B:E,3,FALSE),"")</f>
        <v/>
      </c>
      <c r="AL43" t="str">
        <f>IFERROR(VLOOKUP(AJ43&amp;"-"&amp;$D$7,'CUST DATAB'!B:E,4,FALSE),"")</f>
        <v/>
      </c>
      <c r="AM43" s="60" t="str">
        <f>IFERROR(IF(VLOOKUP($AK43,$AF$15:$AI$37,4,FALSE)&lt;&gt;0,IF(AL43&lt;&gt;"",VLOOKUP(AL43,'CUST DATAB'!E:F,2,FALSE),""),""),"")</f>
        <v/>
      </c>
      <c r="AN43" s="60" t="str">
        <f t="shared" si="2"/>
        <v/>
      </c>
      <c r="AO43" s="62" t="str">
        <f t="shared" si="10"/>
        <v/>
      </c>
      <c r="AP43" s="62" t="str">
        <f t="shared" si="11"/>
        <v/>
      </c>
      <c r="AQ43" s="113"/>
    </row>
    <row r="44" spans="1:43" ht="15" thickBot="1" x14ac:dyDescent="0.35">
      <c r="J44" s="55" t="s">
        <v>17</v>
      </c>
      <c r="V44" s="51"/>
      <c r="W44" s="116"/>
      <c r="X44" s="51"/>
      <c r="Y44" s="263"/>
      <c r="AA44" s="125" t="s">
        <v>101</v>
      </c>
      <c r="AB44" s="374" t="s">
        <v>102</v>
      </c>
      <c r="AJ44" s="266">
        <v>29</v>
      </c>
      <c r="AK44" s="1" t="str">
        <f>IFERROR(VLOOKUP(AJ44&amp;"-"&amp;$D$7,'CUST DATAB'!B:E,3,FALSE),"")</f>
        <v/>
      </c>
      <c r="AL44" t="str">
        <f>IFERROR(VLOOKUP(AJ44&amp;"-"&amp;$D$7,'CUST DATAB'!B:E,4,FALSE),"")</f>
        <v/>
      </c>
      <c r="AM44" s="60" t="str">
        <f>IFERROR(IF(VLOOKUP($AK44,$AF$15:$AI$37,4,FALSE)&lt;&gt;0,IF(AL44&lt;&gt;"",VLOOKUP(AL44,'CUST DATAB'!E:F,2,FALSE),""),""),"")</f>
        <v/>
      </c>
      <c r="AN44" s="60" t="str">
        <f t="shared" si="2"/>
        <v/>
      </c>
      <c r="AO44" s="62" t="str">
        <f t="shared" si="10"/>
        <v/>
      </c>
      <c r="AP44" s="62" t="str">
        <f t="shared" si="11"/>
        <v/>
      </c>
      <c r="AQ44" s="113"/>
    </row>
    <row r="45" spans="1:43" x14ac:dyDescent="0.3">
      <c r="J45" s="55" t="s">
        <v>103</v>
      </c>
      <c r="V45" s="51"/>
      <c r="W45" s="116"/>
      <c r="X45" s="51"/>
      <c r="Y45" s="263"/>
      <c r="AA45" s="541">
        <f>IF(LEFT(AA41,3)="ARR","",IFERROR(ROUND(AB9/IF(AA40="y",VLOOKUP($AA$42,CASES,6,FALSE),0),0),0))</f>
        <v>0</v>
      </c>
      <c r="AB45" s="543">
        <v>9</v>
      </c>
      <c r="AJ45" s="266"/>
      <c r="AK45" s="1" t="str">
        <f>IFERROR(VLOOKUP(AJ45&amp;"-"&amp;$D$7,'CUST DATAB'!B:E,3,FALSE),"")</f>
        <v/>
      </c>
      <c r="AL45" t="str">
        <f>IFERROR(VLOOKUP(AJ45&amp;"-"&amp;$D$7,'CUST DATAB'!B:E,4,FALSE),"")</f>
        <v/>
      </c>
      <c r="AM45" s="60" t="str">
        <f>IFERROR(IF(VLOOKUP($AK45,$AF$15:$AI$37,4,FALSE)&lt;&gt;0,IF(AL45&lt;&gt;"",VLOOKUP(AL45,'CUST DATAB'!E:F,2,FALSE),""),""),"")</f>
        <v/>
      </c>
      <c r="AN45" s="60" t="str">
        <f t="shared" si="2"/>
        <v/>
      </c>
      <c r="AO45" s="62" t="str">
        <f t="shared" si="10"/>
        <v/>
      </c>
      <c r="AP45" s="62" t="str">
        <f t="shared" si="11"/>
        <v/>
      </c>
      <c r="AQ45" s="113"/>
    </row>
    <row r="46" spans="1:43" ht="15" thickBot="1" x14ac:dyDescent="0.35">
      <c r="J46" s="55" t="s">
        <v>104</v>
      </c>
      <c r="N46" s="63"/>
      <c r="O46" s="63"/>
      <c r="Q46" s="22"/>
      <c r="R46" s="51"/>
      <c r="S46" s="51"/>
      <c r="T46" s="51"/>
      <c r="U46" s="51"/>
      <c r="V46" s="51"/>
      <c r="W46" s="116"/>
      <c r="X46" s="51"/>
      <c r="Y46" s="263"/>
      <c r="AA46" s="542"/>
      <c r="AB46" s="544"/>
      <c r="AH46" s="113"/>
      <c r="AJ46" s="266">
        <v>31</v>
      </c>
      <c r="AK46" s="1" t="str">
        <f>IFERROR(VLOOKUP(AJ46&amp;"-"&amp;$D$7,'CUST DATAB'!B:E,3,FALSE),"")</f>
        <v/>
      </c>
      <c r="AL46" t="str">
        <f>IFERROR(VLOOKUP(AJ46&amp;"-"&amp;$D$7,'CUST DATAB'!B:E,4,FALSE),"")</f>
        <v/>
      </c>
      <c r="AM46" s="60" t="str">
        <f>IFERROR(IF(VLOOKUP($AK46,$AF$15:$AI$37,4,FALSE)&lt;&gt;0,IF(AL46&lt;&gt;"",VLOOKUP(AL46,'CUST DATAB'!E:F,2,FALSE),""),""),"")</f>
        <v/>
      </c>
      <c r="AN46" s="60" t="str">
        <f t="shared" si="2"/>
        <v/>
      </c>
      <c r="AO46" s="62" t="str">
        <f t="shared" si="10"/>
        <v/>
      </c>
      <c r="AP46" s="62" t="str">
        <f t="shared" si="11"/>
        <v/>
      </c>
      <c r="AQ46" s="113"/>
    </row>
    <row r="47" spans="1:43" x14ac:dyDescent="0.3">
      <c r="J47" s="55" t="s">
        <v>105</v>
      </c>
      <c r="N47" s="63"/>
      <c r="O47" s="63"/>
      <c r="Q47" s="22"/>
      <c r="R47" s="51"/>
      <c r="S47" s="51"/>
      <c r="T47" s="51"/>
      <c r="U47" s="51"/>
      <c r="V47" s="51"/>
      <c r="W47" s="116"/>
      <c r="X47" s="51"/>
      <c r="Y47" s="264"/>
      <c r="Z47" s="140" t="s">
        <v>106</v>
      </c>
      <c r="AA47" s="135"/>
      <c r="AB47" s="135"/>
      <c r="AC47" s="135"/>
      <c r="AD47" s="135" t="s">
        <v>48</v>
      </c>
      <c r="AE47" s="7"/>
      <c r="AJ47" s="266">
        <v>32</v>
      </c>
      <c r="AK47" s="1" t="str">
        <f>IFERROR(VLOOKUP(AJ47&amp;"-"&amp;$D$7,'CUST DATAB'!B:E,3,FALSE),"")</f>
        <v/>
      </c>
      <c r="AL47" t="str">
        <f>IFERROR(VLOOKUP(AJ47&amp;"-"&amp;$D$7,'CUST DATAB'!B:E,4,FALSE),"")</f>
        <v/>
      </c>
      <c r="AM47" s="60" t="str">
        <f>IFERROR(IF(VLOOKUP($AK47,$AF$15:$AI$37,4,FALSE)&lt;&gt;0,IF(AL47&lt;&gt;"",VLOOKUP(AL47,'CUST DATAB'!E:F,2,FALSE),""),""),"")</f>
        <v/>
      </c>
      <c r="AN47" s="60" t="str">
        <f t="shared" si="2"/>
        <v/>
      </c>
      <c r="AO47" s="62" t="str">
        <f t="shared" si="10"/>
        <v/>
      </c>
      <c r="AP47" s="62" t="str">
        <f t="shared" si="11"/>
        <v/>
      </c>
      <c r="AQ47" s="113"/>
    </row>
    <row r="48" spans="1:43" x14ac:dyDescent="0.3">
      <c r="J48" s="55" t="s">
        <v>107</v>
      </c>
      <c r="N48" s="63"/>
      <c r="O48" s="63"/>
      <c r="Q48" s="22"/>
      <c r="R48" s="51"/>
      <c r="S48" s="51"/>
      <c r="T48" s="51"/>
      <c r="U48" s="51"/>
      <c r="V48" s="51"/>
      <c r="W48" s="116"/>
      <c r="X48" s="51"/>
      <c r="Y48" s="263"/>
      <c r="Z48" t="s">
        <v>108</v>
      </c>
      <c r="AD48" s="258">
        <f>IF(AA40="y",IFERROR((VLOOKUP(AA42,LIST!$A$130:$H$141,5,FALSE)+VLOOKUP(AA42,LIST!$A$130:$H$141,8,FALSE))/AB45,0),0)</f>
        <v>0</v>
      </c>
      <c r="AE48" s="151"/>
      <c r="AH48" s="113"/>
      <c r="AJ48" s="266">
        <v>33</v>
      </c>
      <c r="AK48" s="1" t="str">
        <f>IFERROR(VLOOKUP(AJ48&amp;"-"&amp;$D$7,'CUST DATAB'!B:E,3,FALSE),"")</f>
        <v/>
      </c>
      <c r="AL48" t="str">
        <f>IFERROR(VLOOKUP(AJ48&amp;"-"&amp;$D$7,'CUST DATAB'!B:E,4,FALSE),"")</f>
        <v/>
      </c>
      <c r="AM48" s="60" t="str">
        <f>IFERROR(IF(VLOOKUP($AK48,$AF$15:$AI$37,4,FALSE)&lt;&gt;0,IF(AL48&lt;&gt;"",VLOOKUP(AL48,'CUST DATAB'!E:F,2,FALSE),""),""),"")</f>
        <v/>
      </c>
      <c r="AN48" s="60" t="str">
        <f t="shared" si="2"/>
        <v/>
      </c>
      <c r="AO48" s="62" t="str">
        <f t="shared" si="10"/>
        <v/>
      </c>
      <c r="AP48" s="62" t="str">
        <f t="shared" si="11"/>
        <v/>
      </c>
      <c r="AQ48" s="113"/>
    </row>
    <row r="49" spans="10:43" x14ac:dyDescent="0.3">
      <c r="J49" s="55" t="s">
        <v>109</v>
      </c>
      <c r="N49" s="63"/>
      <c r="O49" s="63"/>
      <c r="Q49" s="22"/>
      <c r="R49" s="51"/>
      <c r="S49" s="51"/>
      <c r="T49" s="51"/>
      <c r="U49" s="51"/>
      <c r="V49" s="51"/>
      <c r="W49" s="116"/>
      <c r="X49" s="51"/>
      <c r="Y49" s="263"/>
      <c r="Z49" t="s">
        <v>110</v>
      </c>
      <c r="AD49" s="258">
        <f>+(AH16*AI15)+(AH21*AI20)+(AH26*AI25)+(AH31*AI30)+(AH36*AI35)+(AH41*AI40)</f>
        <v>0</v>
      </c>
      <c r="AE49" s="151"/>
      <c r="AH49" s="113"/>
      <c r="AJ49" s="266">
        <v>34</v>
      </c>
      <c r="AK49" s="1" t="str">
        <f>IFERROR(VLOOKUP(AJ49&amp;"-"&amp;$D$7,'CUST DATAB'!B:E,3,FALSE),"")</f>
        <v/>
      </c>
      <c r="AL49" t="str">
        <f>IFERROR(VLOOKUP(AJ49&amp;"-"&amp;$D$7,'CUST DATAB'!B:E,4,FALSE),"")</f>
        <v/>
      </c>
      <c r="AM49" s="60" t="str">
        <f>IFERROR(IF(VLOOKUP($AK49,$AF$15:$AI$37,4,FALSE)&lt;&gt;0,IF(AL49&lt;&gt;"",VLOOKUP(AL49,'CUST DATAB'!E:F,2,FALSE),""),""),"")</f>
        <v/>
      </c>
      <c r="AN49" s="60" t="str">
        <f t="shared" si="2"/>
        <v/>
      </c>
      <c r="AO49" s="62" t="str">
        <f t="shared" si="10"/>
        <v/>
      </c>
      <c r="AP49" s="62" t="str">
        <f t="shared" si="11"/>
        <v/>
      </c>
      <c r="AQ49" s="113"/>
    </row>
    <row r="50" spans="10:43" x14ac:dyDescent="0.3">
      <c r="N50" s="63"/>
      <c r="O50" s="63"/>
      <c r="Q50" s="22"/>
      <c r="R50" s="51"/>
      <c r="S50" s="51"/>
      <c r="T50" s="51"/>
      <c r="U50" s="51"/>
      <c r="V50" s="51"/>
      <c r="W50" s="116"/>
      <c r="X50" s="51"/>
      <c r="Y50" s="263"/>
      <c r="Z50" t="s">
        <v>111</v>
      </c>
      <c r="AD50" s="258">
        <f>SUM(AD48:AD49)</f>
        <v>0</v>
      </c>
      <c r="AG50" s="113"/>
      <c r="AH50" s="113"/>
      <c r="AJ50" s="266">
        <v>35</v>
      </c>
      <c r="AK50" s="1" t="str">
        <f>IFERROR(VLOOKUP(AJ50&amp;"-"&amp;$D$7,'CUST DATAB'!B:E,3,FALSE),"")</f>
        <v/>
      </c>
      <c r="AL50" t="str">
        <f>IFERROR(VLOOKUP(AJ50&amp;"-"&amp;$D$7,'CUST DATAB'!B:E,4,FALSE),"")</f>
        <v/>
      </c>
      <c r="AM50" s="60" t="str">
        <f>IFERROR(IF(VLOOKUP($AK50,$AF$15:$AI$37,4,FALSE)&lt;&gt;0,IF(AL50&lt;&gt;"",VLOOKUP(AL50,'CUST DATAB'!E:F,2,FALSE),""),""),"")</f>
        <v/>
      </c>
      <c r="AN50" s="60" t="str">
        <f t="shared" si="2"/>
        <v/>
      </c>
      <c r="AO50" s="62" t="str">
        <f t="shared" si="10"/>
        <v/>
      </c>
      <c r="AP50" s="62" t="str">
        <f t="shared" si="11"/>
        <v/>
      </c>
      <c r="AQ50" s="113"/>
    </row>
    <row r="51" spans="10:43" x14ac:dyDescent="0.3">
      <c r="N51" s="63"/>
      <c r="O51" s="63"/>
      <c r="Q51" s="22"/>
      <c r="R51" s="51"/>
      <c r="S51" s="51"/>
      <c r="T51" s="51"/>
      <c r="U51" s="51"/>
      <c r="V51" s="51"/>
      <c r="W51" s="116"/>
      <c r="X51" s="51"/>
      <c r="Y51" s="263"/>
      <c r="Z51" s="126"/>
      <c r="AA51" s="126"/>
      <c r="AB51" s="126"/>
      <c r="AC51" s="126"/>
      <c r="AD51" s="126"/>
      <c r="AH51" s="113"/>
      <c r="AJ51" s="266">
        <v>36</v>
      </c>
      <c r="AK51" s="1" t="str">
        <f>IFERROR(VLOOKUP(AJ51&amp;"-"&amp;$D$7,'CUST DATAB'!B:E,3,FALSE),"")</f>
        <v/>
      </c>
      <c r="AL51" t="str">
        <f>IFERROR(VLOOKUP(AJ51&amp;"-"&amp;$D$7,'CUST DATAB'!B:E,4,FALSE),"")</f>
        <v/>
      </c>
      <c r="AM51" s="60" t="str">
        <f>IFERROR(IF(VLOOKUP($AK51,$AF$15:$AI$37,4,FALSE)&lt;&gt;0,IF(AL51&lt;&gt;"",VLOOKUP(AL51,'CUST DATAB'!E:F,2,FALSE),""),""),"")</f>
        <v/>
      </c>
      <c r="AN51" s="60" t="str">
        <f t="shared" si="2"/>
        <v/>
      </c>
      <c r="AO51" s="62" t="str">
        <f t="shared" si="10"/>
        <v/>
      </c>
      <c r="AP51" s="62" t="str">
        <f t="shared" si="11"/>
        <v/>
      </c>
      <c r="AQ51" s="113"/>
    </row>
    <row r="52" spans="10:43" x14ac:dyDescent="0.3">
      <c r="N52" s="63"/>
      <c r="O52" s="63"/>
      <c r="Q52" s="22"/>
      <c r="R52" s="51"/>
      <c r="S52" s="51"/>
      <c r="T52" s="51"/>
      <c r="U52" s="51"/>
      <c r="V52" s="51"/>
      <c r="W52" s="116"/>
      <c r="X52" s="51"/>
      <c r="Y52" s="263"/>
      <c r="Z52" s="24"/>
      <c r="AA52" s="24"/>
      <c r="AB52" s="24"/>
      <c r="AC52" s="558"/>
      <c r="AD52" s="558"/>
      <c r="AJ52" s="266">
        <v>37</v>
      </c>
      <c r="AK52" s="1" t="str">
        <f>IFERROR(VLOOKUP(AJ52&amp;"-"&amp;$D$7,'CUST DATAB'!B:E,3,FALSE),"")</f>
        <v/>
      </c>
      <c r="AL52" t="str">
        <f>IFERROR(VLOOKUP(AJ52&amp;"-"&amp;$D$7,'CUST DATAB'!B:E,4,FALSE),"")</f>
        <v/>
      </c>
      <c r="AM52" s="60" t="str">
        <f>IFERROR(IF(VLOOKUP($AK52,$AF$15:$AI$37,4,FALSE)&lt;&gt;0,IF(AL52&lt;&gt;"",VLOOKUP(AL52,'CUST DATAB'!E:F,2,FALSE),""),""),"")</f>
        <v/>
      </c>
      <c r="AN52" s="60" t="str">
        <f t="shared" si="2"/>
        <v/>
      </c>
      <c r="AO52" s="62" t="str">
        <f t="shared" si="10"/>
        <v/>
      </c>
      <c r="AP52" s="62" t="str">
        <f t="shared" si="11"/>
        <v/>
      </c>
      <c r="AQ52" s="113"/>
    </row>
    <row r="53" spans="10:43" x14ac:dyDescent="0.3">
      <c r="N53" s="63"/>
      <c r="O53" s="63"/>
      <c r="Q53" s="22"/>
      <c r="R53" s="51"/>
      <c r="S53" s="51"/>
      <c r="T53" s="51"/>
      <c r="U53" s="51"/>
      <c r="V53" s="51"/>
      <c r="W53" s="116"/>
      <c r="X53" s="51"/>
      <c r="Z53" s="24"/>
      <c r="AA53" s="24"/>
      <c r="AB53" s="24"/>
      <c r="AJ53" s="266">
        <v>38</v>
      </c>
      <c r="AK53" s="1" t="str">
        <f>IFERROR(VLOOKUP(AJ53&amp;"-"&amp;$D$7,'CUST DATAB'!B:E,3,FALSE),"")</f>
        <v/>
      </c>
      <c r="AL53" t="str">
        <f>IFERROR(VLOOKUP(AJ53&amp;"-"&amp;$D$7,'CUST DATAB'!B:E,4,FALSE),"")</f>
        <v/>
      </c>
      <c r="AM53" s="60" t="str">
        <f>IFERROR(IF(VLOOKUP($AK53,$AF$15:$AI$37,4,FALSE)&lt;&gt;0,IF(AL53&lt;&gt;"",VLOOKUP(AL53,'CUST DATAB'!E:F,2,FALSE),""),""),"")</f>
        <v/>
      </c>
      <c r="AN53" s="60" t="str">
        <f t="shared" si="2"/>
        <v/>
      </c>
      <c r="AO53" s="62" t="str">
        <f t="shared" si="10"/>
        <v/>
      </c>
      <c r="AP53" s="62" t="str">
        <f t="shared" si="11"/>
        <v/>
      </c>
      <c r="AQ53" s="113"/>
    </row>
    <row r="54" spans="10:43" x14ac:dyDescent="0.3">
      <c r="N54" s="63"/>
      <c r="O54" s="63"/>
      <c r="Q54" s="22"/>
      <c r="R54" s="51"/>
      <c r="S54" s="51"/>
      <c r="T54" s="51"/>
      <c r="U54" s="51"/>
      <c r="V54" s="51"/>
      <c r="W54" s="116"/>
      <c r="X54" s="51"/>
      <c r="Z54" s="1"/>
      <c r="AA54" s="1"/>
      <c r="AB54" s="1"/>
      <c r="AC54" s="7"/>
      <c r="AD54" s="319"/>
      <c r="AJ54" s="266">
        <v>39</v>
      </c>
      <c r="AK54" s="1" t="str">
        <f>IFERROR(VLOOKUP(AJ54&amp;"-"&amp;$D$7,'CUST DATAB'!B:E,3,FALSE),"")</f>
        <v/>
      </c>
      <c r="AL54" t="str">
        <f>IFERROR(VLOOKUP(AJ54&amp;"-"&amp;$D$7,'CUST DATAB'!B:E,4,FALSE),"")</f>
        <v/>
      </c>
      <c r="AM54" s="60" t="str">
        <f>IFERROR(IF(VLOOKUP($AK54,$AF$15:$AI$37,4,FALSE)&lt;&gt;0,IF(AL54&lt;&gt;"",VLOOKUP(AL54,'CUST DATAB'!E:F,2,FALSE),""),""),"")</f>
        <v/>
      </c>
      <c r="AN54" s="60" t="str">
        <f t="shared" si="2"/>
        <v/>
      </c>
      <c r="AO54" s="62" t="str">
        <f t="shared" si="10"/>
        <v/>
      </c>
      <c r="AP54" s="62" t="str">
        <f t="shared" si="11"/>
        <v/>
      </c>
      <c r="AQ54" s="113"/>
    </row>
    <row r="55" spans="10:43" x14ac:dyDescent="0.3">
      <c r="N55" s="63"/>
      <c r="O55" s="63"/>
      <c r="Q55" s="22"/>
      <c r="R55" s="51"/>
      <c r="S55" s="51"/>
      <c r="T55" s="51"/>
      <c r="U55" s="51"/>
      <c r="V55" s="51"/>
      <c r="W55" s="116"/>
      <c r="X55" s="51"/>
      <c r="Z55" s="1"/>
      <c r="AA55" s="1"/>
      <c r="AB55" s="1"/>
      <c r="AC55" s="152"/>
      <c r="AD55" s="113"/>
      <c r="AJ55" s="266">
        <v>40</v>
      </c>
      <c r="AK55" s="1" t="str">
        <f>IFERROR(VLOOKUP(AJ55&amp;"-"&amp;$D$7,'CUST DATAB'!B:E,3,FALSE),"")</f>
        <v/>
      </c>
      <c r="AL55" t="str">
        <f>IFERROR(VLOOKUP(AJ55&amp;"-"&amp;$D$7,'CUST DATAB'!B:E,4,FALSE),"")</f>
        <v/>
      </c>
      <c r="AM55" s="60" t="str">
        <f>IFERROR(IF(VLOOKUP($AK55,$AF$15:$AI$37,4,FALSE)&lt;&gt;0,IF(AL55&lt;&gt;"",VLOOKUP(AL55,'CUST DATAB'!E:F,2,FALSE),""),""),"")</f>
        <v/>
      </c>
      <c r="AN55" s="60" t="str">
        <f t="shared" si="2"/>
        <v/>
      </c>
      <c r="AO55" s="62" t="str">
        <f t="shared" si="10"/>
        <v/>
      </c>
      <c r="AP55" s="62" t="str">
        <f t="shared" si="11"/>
        <v/>
      </c>
      <c r="AQ55" s="113"/>
    </row>
    <row r="56" spans="10:43" x14ac:dyDescent="0.3">
      <c r="N56" s="63"/>
      <c r="O56" s="63"/>
      <c r="Q56" s="22"/>
      <c r="R56" s="51"/>
      <c r="S56" s="51"/>
      <c r="T56" s="51"/>
      <c r="U56" s="51"/>
      <c r="V56" s="51"/>
      <c r="W56" s="116"/>
      <c r="X56" s="51"/>
      <c r="Z56" s="1"/>
      <c r="AA56" s="1"/>
      <c r="AB56" s="1"/>
      <c r="AC56" s="7"/>
      <c r="AD56" s="113"/>
      <c r="AJ56" s="266">
        <v>41</v>
      </c>
      <c r="AK56" s="1" t="str">
        <f>IFERROR(VLOOKUP(AJ56&amp;"-"&amp;$D$7,'CUST DATAB'!B:E,3,FALSE),"")</f>
        <v/>
      </c>
      <c r="AL56" t="str">
        <f>IFERROR(VLOOKUP(AJ56&amp;"-"&amp;$D$7,'CUST DATAB'!B:E,4,FALSE),"")</f>
        <v/>
      </c>
      <c r="AM56" s="60" t="str">
        <f>IFERROR(IF(VLOOKUP($AK56,$AF$15:$AI$37,4,FALSE)&lt;&gt;0,IF(AL56&lt;&gt;"",VLOOKUP(AL56,'CUST DATAB'!E:F,2,FALSE),""),""),"")</f>
        <v/>
      </c>
      <c r="AN56" s="60" t="str">
        <f t="shared" si="2"/>
        <v/>
      </c>
      <c r="AO56" s="62" t="str">
        <f t="shared" si="10"/>
        <v/>
      </c>
      <c r="AP56" s="62" t="str">
        <f t="shared" si="11"/>
        <v/>
      </c>
      <c r="AQ56" s="113"/>
    </row>
    <row r="57" spans="10:43" x14ac:dyDescent="0.3">
      <c r="N57" s="63"/>
      <c r="O57" s="63"/>
      <c r="Q57" s="22"/>
      <c r="R57" s="51"/>
      <c r="S57" s="51"/>
      <c r="T57" s="51"/>
      <c r="U57" s="51"/>
      <c r="V57" s="51"/>
      <c r="W57" s="116"/>
      <c r="X57" s="51"/>
      <c r="AD57" s="113"/>
      <c r="AJ57" s="266">
        <v>42</v>
      </c>
      <c r="AK57" s="1" t="str">
        <f>IFERROR(VLOOKUP(AJ57&amp;"-"&amp;$D$7,'CUST DATAB'!B:E,3,FALSE),"")</f>
        <v/>
      </c>
      <c r="AL57" t="str">
        <f>IFERROR(VLOOKUP(AJ57&amp;"-"&amp;$D$7,'CUST DATAB'!B:E,4,FALSE),"")</f>
        <v/>
      </c>
      <c r="AM57" s="60" t="str">
        <f>IFERROR(IF(VLOOKUP($AK57,$AF$15:$AI$37,4,FALSE)&lt;&gt;0,IF(AL57&lt;&gt;"",VLOOKUP(AL57,'CUST DATAB'!E:F,2,FALSE),""),""),"")</f>
        <v/>
      </c>
      <c r="AN57" s="60" t="str">
        <f t="shared" si="2"/>
        <v/>
      </c>
      <c r="AO57" s="62" t="str">
        <f t="shared" si="10"/>
        <v/>
      </c>
      <c r="AP57" s="62" t="str">
        <f t="shared" si="11"/>
        <v/>
      </c>
      <c r="AQ57" s="113"/>
    </row>
    <row r="58" spans="10:43" x14ac:dyDescent="0.3">
      <c r="N58" s="63"/>
      <c r="O58" s="63"/>
      <c r="Q58" s="22"/>
      <c r="R58" s="51"/>
      <c r="S58" s="51"/>
      <c r="T58" s="51"/>
      <c r="U58" s="51"/>
      <c r="V58" s="51"/>
      <c r="W58" s="116"/>
      <c r="X58" s="51"/>
      <c r="AJ58" s="266"/>
      <c r="AK58" s="1"/>
      <c r="AL58"/>
      <c r="AM58" s="60"/>
      <c r="AN58" s="60"/>
      <c r="AO58" s="60"/>
    </row>
    <row r="59" spans="10:43" x14ac:dyDescent="0.3">
      <c r="N59" s="63"/>
      <c r="O59" s="63"/>
      <c r="Q59" s="22"/>
      <c r="R59" s="51"/>
      <c r="S59" s="51"/>
      <c r="T59" s="51"/>
      <c r="U59" s="51"/>
      <c r="V59" s="51"/>
      <c r="W59" s="116"/>
      <c r="X59" s="51"/>
      <c r="AJ59" s="266"/>
      <c r="AK59" s="1"/>
      <c r="AL59"/>
      <c r="AM59" s="60"/>
      <c r="AN59" s="60"/>
      <c r="AO59" s="60"/>
    </row>
    <row r="60" spans="10:43" x14ac:dyDescent="0.3">
      <c r="N60" s="63"/>
      <c r="O60" s="63"/>
      <c r="Q60" s="22"/>
      <c r="R60" s="51"/>
      <c r="S60" s="51"/>
      <c r="T60" s="51"/>
      <c r="U60" s="51"/>
      <c r="V60" s="51"/>
      <c r="W60" s="116"/>
      <c r="X60" s="51"/>
      <c r="AJ60" s="266"/>
      <c r="AK60" s="1"/>
      <c r="AL60"/>
      <c r="AM60" s="60"/>
      <c r="AN60" s="60"/>
      <c r="AO60" s="60"/>
    </row>
    <row r="61" spans="10:43" x14ac:dyDescent="0.3">
      <c r="N61" s="63"/>
      <c r="O61" s="63"/>
      <c r="Q61" s="22"/>
      <c r="R61" s="51"/>
      <c r="S61" s="51"/>
      <c r="T61" s="51"/>
      <c r="U61" s="51"/>
      <c r="V61" s="51"/>
      <c r="W61" s="116"/>
      <c r="X61" s="51"/>
      <c r="AJ61" s="266"/>
      <c r="AK61" s="1"/>
      <c r="AL61"/>
      <c r="AM61" s="61"/>
      <c r="AN61" s="61"/>
      <c r="AO61" s="61"/>
    </row>
    <row r="62" spans="10:43" x14ac:dyDescent="0.3">
      <c r="N62" s="63"/>
      <c r="O62" s="63"/>
      <c r="Q62" s="22"/>
      <c r="R62" s="51"/>
      <c r="S62" s="51"/>
      <c r="T62" s="51"/>
      <c r="U62" s="51"/>
      <c r="V62" s="51"/>
      <c r="W62" s="116"/>
      <c r="X62" s="51"/>
      <c r="AJ62" s="266"/>
      <c r="AK62" s="1"/>
      <c r="AL62"/>
      <c r="AM62" s="61"/>
      <c r="AN62" s="61"/>
      <c r="AO62" s="61"/>
    </row>
    <row r="63" spans="10:43" x14ac:dyDescent="0.3">
      <c r="N63" s="63"/>
      <c r="O63" s="63"/>
      <c r="Q63" s="22"/>
      <c r="R63" s="51"/>
      <c r="S63" s="51"/>
      <c r="T63" s="51"/>
      <c r="U63" s="51"/>
      <c r="V63" s="51"/>
      <c r="W63" s="116"/>
      <c r="X63" s="51"/>
      <c r="AJ63" s="266"/>
      <c r="AK63" s="1"/>
      <c r="AL63"/>
      <c r="AM63" s="61"/>
      <c r="AN63" s="61"/>
      <c r="AO63" s="61"/>
    </row>
    <row r="64" spans="10:43" x14ac:dyDescent="0.3">
      <c r="N64" s="63"/>
      <c r="O64" s="63"/>
      <c r="Q64" s="22"/>
      <c r="R64" s="51"/>
      <c r="S64" s="51"/>
      <c r="T64" s="51"/>
      <c r="U64" s="51"/>
      <c r="V64" s="51"/>
      <c r="W64" s="116"/>
      <c r="X64" s="51"/>
      <c r="AJ64" s="266"/>
      <c r="AK64" s="1"/>
      <c r="AL64"/>
    </row>
    <row r="65" spans="14:38" x14ac:dyDescent="0.3">
      <c r="N65" s="63"/>
      <c r="O65" s="63"/>
      <c r="Q65" s="22"/>
      <c r="R65" s="51"/>
      <c r="S65" s="51"/>
      <c r="T65" s="51"/>
      <c r="U65" s="51"/>
      <c r="V65" s="51"/>
      <c r="W65" s="116"/>
      <c r="X65" s="51"/>
      <c r="AJ65" s="266"/>
      <c r="AK65" s="1"/>
      <c r="AL65"/>
    </row>
    <row r="66" spans="14:38" x14ac:dyDescent="0.3">
      <c r="N66" s="63"/>
      <c r="O66" s="63"/>
      <c r="Q66" s="22"/>
      <c r="R66" s="51"/>
      <c r="S66" s="51"/>
      <c r="T66" s="51"/>
      <c r="U66" s="51"/>
      <c r="V66" s="51"/>
      <c r="W66" s="116"/>
      <c r="X66" s="51"/>
      <c r="AJ66" s="266"/>
      <c r="AK66" s="1"/>
      <c r="AL66"/>
    </row>
    <row r="67" spans="14:38" x14ac:dyDescent="0.3">
      <c r="N67" s="63"/>
      <c r="O67" s="63"/>
      <c r="Q67" s="22"/>
      <c r="R67" s="51"/>
      <c r="S67" s="51"/>
      <c r="T67" s="51"/>
      <c r="U67" s="51"/>
      <c r="V67" s="51"/>
      <c r="W67" s="116"/>
      <c r="X67" s="51"/>
      <c r="AJ67" s="266"/>
      <c r="AK67" s="1"/>
      <c r="AL67"/>
    </row>
    <row r="68" spans="14:38" x14ac:dyDescent="0.3">
      <c r="N68" s="63"/>
      <c r="O68" s="63"/>
      <c r="Q68" s="22"/>
      <c r="R68" s="51"/>
      <c r="S68" s="51"/>
      <c r="T68" s="51"/>
      <c r="U68" s="51"/>
      <c r="V68" s="51"/>
      <c r="W68" s="116"/>
      <c r="X68" s="51"/>
      <c r="AJ68" s="266"/>
      <c r="AK68" s="1"/>
      <c r="AL68"/>
    </row>
    <row r="69" spans="14:38" x14ac:dyDescent="0.3">
      <c r="N69" s="63"/>
      <c r="O69" s="63"/>
      <c r="Q69" s="22"/>
      <c r="R69" s="51"/>
      <c r="S69" s="51"/>
      <c r="T69" s="51"/>
      <c r="U69" s="51"/>
      <c r="V69" s="51"/>
      <c r="W69" s="116"/>
      <c r="X69" s="51"/>
      <c r="AJ69" s="266"/>
      <c r="AK69" s="1"/>
      <c r="AL69"/>
    </row>
    <row r="70" spans="14:38" x14ac:dyDescent="0.3">
      <c r="N70" s="63"/>
      <c r="O70" s="63"/>
      <c r="Q70" s="22"/>
      <c r="R70" s="51"/>
      <c r="S70" s="51"/>
      <c r="T70" s="51"/>
      <c r="U70" s="51"/>
      <c r="V70" s="51"/>
      <c r="W70" s="116"/>
      <c r="X70" s="51"/>
      <c r="AJ70" s="266"/>
      <c r="AK70" s="1"/>
      <c r="AL70"/>
    </row>
    <row r="71" spans="14:38" x14ac:dyDescent="0.3">
      <c r="N71" s="63"/>
      <c r="O71" s="63"/>
      <c r="Q71" s="22"/>
      <c r="R71" s="51"/>
      <c r="S71" s="51"/>
      <c r="T71" s="51"/>
      <c r="U71" s="51"/>
      <c r="V71" s="51"/>
      <c r="W71" s="116"/>
      <c r="X71" s="51"/>
      <c r="AJ71" s="266"/>
      <c r="AK71" s="1"/>
      <c r="AL71"/>
    </row>
    <row r="72" spans="14:38" x14ac:dyDescent="0.3">
      <c r="N72" s="63"/>
      <c r="O72" s="63"/>
      <c r="Q72" s="22"/>
      <c r="R72" s="51"/>
      <c r="S72" s="51"/>
      <c r="T72" s="51"/>
      <c r="U72" s="51"/>
      <c r="V72" s="51"/>
      <c r="W72" s="116"/>
      <c r="X72" s="51"/>
      <c r="AJ72" s="266"/>
      <c r="AK72" s="1"/>
      <c r="AL72"/>
    </row>
    <row r="73" spans="14:38" x14ac:dyDescent="0.3">
      <c r="N73" s="63"/>
      <c r="O73" s="63"/>
      <c r="Q73" s="22"/>
      <c r="R73" s="51"/>
      <c r="S73" s="51"/>
      <c r="T73" s="51"/>
      <c r="U73" s="51"/>
      <c r="V73" s="51"/>
      <c r="W73" s="116"/>
      <c r="X73" s="51"/>
      <c r="AJ73" s="266"/>
      <c r="AK73" s="1"/>
      <c r="AL73"/>
    </row>
    <row r="74" spans="14:38" x14ac:dyDescent="0.3">
      <c r="N74" s="63"/>
      <c r="O74" s="63"/>
      <c r="Q74" s="22"/>
      <c r="R74" s="51"/>
      <c r="S74" s="51"/>
      <c r="T74" s="51"/>
      <c r="U74" s="51"/>
      <c r="V74" s="51"/>
      <c r="W74" s="116"/>
      <c r="X74" s="51"/>
      <c r="AJ74" s="266"/>
      <c r="AK74" s="1"/>
      <c r="AL74"/>
    </row>
    <row r="75" spans="14:38" x14ac:dyDescent="0.3">
      <c r="N75" s="63"/>
      <c r="O75" s="63"/>
      <c r="Q75" s="22"/>
      <c r="R75" s="51"/>
      <c r="S75" s="51"/>
      <c r="T75" s="51"/>
      <c r="U75" s="51"/>
      <c r="V75" s="51"/>
      <c r="W75" s="116"/>
      <c r="X75" s="51"/>
      <c r="AJ75" s="266"/>
      <c r="AK75" s="1"/>
      <c r="AL75"/>
    </row>
    <row r="76" spans="14:38" x14ac:dyDescent="0.3">
      <c r="N76" s="63"/>
      <c r="O76" s="63"/>
      <c r="Q76" s="22"/>
      <c r="R76" s="51"/>
      <c r="S76" s="51"/>
      <c r="T76" s="51"/>
      <c r="U76" s="51"/>
      <c r="V76" s="51"/>
      <c r="W76" s="116"/>
      <c r="X76" s="51"/>
      <c r="AJ76" s="266"/>
      <c r="AK76" s="1"/>
      <c r="AL76"/>
    </row>
    <row r="77" spans="14:38" x14ac:dyDescent="0.3">
      <c r="N77" s="63"/>
      <c r="O77" s="63"/>
      <c r="Q77" s="22"/>
      <c r="R77" s="51"/>
      <c r="S77" s="51"/>
      <c r="T77" s="51"/>
      <c r="U77" s="51"/>
      <c r="V77" s="51"/>
      <c r="W77" s="116"/>
      <c r="X77" s="51"/>
      <c r="AJ77" s="266"/>
      <c r="AK77" s="1"/>
      <c r="AL77"/>
    </row>
    <row r="78" spans="14:38" x14ac:dyDescent="0.3">
      <c r="N78" s="63"/>
      <c r="O78" s="63"/>
      <c r="Q78" s="22"/>
      <c r="R78" s="51"/>
      <c r="S78" s="51"/>
      <c r="T78" s="51"/>
      <c r="U78" s="51"/>
      <c r="V78" s="51"/>
      <c r="W78" s="116"/>
      <c r="X78" s="51"/>
      <c r="AJ78" s="266"/>
      <c r="AK78" s="1"/>
      <c r="AL78"/>
    </row>
    <row r="79" spans="14:38" x14ac:dyDescent="0.3">
      <c r="N79" s="63"/>
      <c r="O79" s="63"/>
      <c r="Q79" s="22"/>
      <c r="R79" s="51"/>
      <c r="S79" s="51"/>
      <c r="T79" s="51"/>
      <c r="U79" s="51"/>
      <c r="V79" s="51"/>
      <c r="W79" s="116"/>
      <c r="X79" s="51"/>
      <c r="AJ79" s="266"/>
      <c r="AK79" s="1"/>
      <c r="AL79"/>
    </row>
    <row r="80" spans="14:38" x14ac:dyDescent="0.3">
      <c r="N80" s="63"/>
      <c r="O80" s="63"/>
      <c r="Q80" s="22"/>
      <c r="R80" s="51"/>
      <c r="S80" s="51"/>
      <c r="T80" s="51"/>
      <c r="U80" s="51"/>
      <c r="V80" s="51"/>
      <c r="W80" s="116"/>
      <c r="X80" s="51"/>
      <c r="AJ80" s="266"/>
      <c r="AK80" s="1"/>
      <c r="AL80"/>
    </row>
    <row r="81" spans="2:38" x14ac:dyDescent="0.3">
      <c r="N81" s="63"/>
      <c r="O81" s="63"/>
      <c r="Q81" s="22"/>
      <c r="R81" s="51"/>
      <c r="S81" s="51"/>
      <c r="T81" s="51"/>
      <c r="U81" s="51"/>
      <c r="V81" s="51"/>
      <c r="W81" s="116"/>
      <c r="X81" s="51"/>
      <c r="AJ81" s="266"/>
      <c r="AK81" s="1"/>
      <c r="AL81"/>
    </row>
    <row r="82" spans="2:38" x14ac:dyDescent="0.3">
      <c r="N82" s="63"/>
      <c r="O82" s="63"/>
      <c r="Q82" s="22"/>
      <c r="R82" s="51"/>
      <c r="S82" s="51"/>
      <c r="T82" s="51"/>
      <c r="U82" s="51"/>
      <c r="V82" s="51"/>
      <c r="W82" s="116"/>
      <c r="X82" s="51"/>
      <c r="AJ82" s="266"/>
      <c r="AK82" s="1"/>
      <c r="AL82"/>
    </row>
    <row r="83" spans="2:38" x14ac:dyDescent="0.3">
      <c r="N83" s="63"/>
      <c r="O83" s="63"/>
      <c r="Q83" s="22"/>
      <c r="R83" s="51"/>
      <c r="S83" s="51"/>
      <c r="T83" s="51"/>
      <c r="U83" s="51"/>
      <c r="V83" s="51"/>
      <c r="W83" s="116"/>
      <c r="X83" s="51"/>
      <c r="AK83" s="1"/>
      <c r="AL83"/>
    </row>
    <row r="84" spans="2:38" x14ac:dyDescent="0.3">
      <c r="N84" s="63"/>
      <c r="O84" s="63"/>
      <c r="Q84" s="22"/>
      <c r="R84" s="51"/>
      <c r="S84" s="51"/>
      <c r="T84" s="51"/>
      <c r="U84" s="51"/>
      <c r="V84" s="51"/>
      <c r="W84" s="116"/>
      <c r="X84" s="51"/>
      <c r="AK84" s="1"/>
      <c r="AL84"/>
    </row>
    <row r="85" spans="2:38" x14ac:dyDescent="0.3">
      <c r="N85" s="63"/>
      <c r="O85" s="63"/>
      <c r="Q85" s="22"/>
      <c r="R85" s="51"/>
      <c r="S85" s="51"/>
      <c r="T85" s="51"/>
      <c r="U85" s="51"/>
      <c r="V85" s="51"/>
      <c r="W85" s="116"/>
      <c r="X85" s="51"/>
      <c r="AK85" s="1"/>
      <c r="AL85"/>
    </row>
    <row r="86" spans="2:38" x14ac:dyDescent="0.3">
      <c r="N86" s="63"/>
      <c r="O86" s="63"/>
      <c r="Q86" s="22"/>
      <c r="R86" s="51"/>
      <c r="S86" s="51"/>
      <c r="T86" s="51"/>
      <c r="U86" s="51"/>
      <c r="V86" s="51"/>
      <c r="W86" s="116"/>
      <c r="X86" s="51"/>
      <c r="AK86" s="1"/>
      <c r="AL86"/>
    </row>
    <row r="87" spans="2:38" x14ac:dyDescent="0.3">
      <c r="N87" s="63"/>
      <c r="O87" s="63"/>
      <c r="Q87" s="22"/>
      <c r="R87" s="51"/>
      <c r="S87" s="51"/>
      <c r="T87" s="51"/>
      <c r="U87" s="51"/>
      <c r="V87" s="51"/>
      <c r="W87" s="116"/>
      <c r="X87" s="51"/>
      <c r="AK87" s="1"/>
      <c r="AL87"/>
    </row>
    <row r="88" spans="2:38" x14ac:dyDescent="0.3">
      <c r="N88" s="63"/>
      <c r="O88" s="63"/>
      <c r="Q88" s="22"/>
      <c r="R88" s="51"/>
      <c r="S88" s="51"/>
      <c r="T88" s="51"/>
      <c r="U88" s="51"/>
      <c r="V88" s="51"/>
      <c r="W88" s="116"/>
      <c r="X88" s="51"/>
      <c r="AK88" s="1"/>
      <c r="AL88"/>
    </row>
    <row r="89" spans="2:38" s="158" customFormat="1" x14ac:dyDescent="0.3">
      <c r="B89" s="55"/>
      <c r="C89"/>
      <c r="D89"/>
      <c r="E89"/>
      <c r="F89"/>
      <c r="G89"/>
      <c r="H89"/>
      <c r="I89"/>
      <c r="J89"/>
      <c r="K89"/>
      <c r="L89"/>
      <c r="M89"/>
      <c r="N89" s="63"/>
      <c r="O89" s="63"/>
      <c r="P89" s="21"/>
      <c r="Q89" s="22"/>
      <c r="R89" s="51"/>
      <c r="S89" s="51"/>
      <c r="T89" s="51"/>
      <c r="U89" s="51"/>
      <c r="V89" s="51"/>
      <c r="W89" s="116"/>
      <c r="X89" s="51"/>
      <c r="Y89" s="21"/>
      <c r="Z89"/>
      <c r="AA89"/>
      <c r="AB89"/>
      <c r="AC89"/>
      <c r="AD89"/>
      <c r="AK89" s="112"/>
    </row>
    <row r="90" spans="2:38" x14ac:dyDescent="0.3">
      <c r="N90" s="63"/>
      <c r="O90" s="63"/>
      <c r="Q90" s="22"/>
      <c r="R90" s="51"/>
      <c r="S90" s="51"/>
      <c r="T90" s="51"/>
      <c r="U90" s="51"/>
      <c r="V90" s="51"/>
      <c r="W90" s="116"/>
      <c r="X90" s="51"/>
      <c r="AK90" s="1"/>
      <c r="AL90"/>
    </row>
    <row r="91" spans="2:38" x14ac:dyDescent="0.3">
      <c r="N91" s="63"/>
      <c r="O91" s="63"/>
      <c r="Q91" s="22"/>
      <c r="R91" s="51"/>
      <c r="S91" s="51"/>
      <c r="T91" s="51"/>
      <c r="U91" s="51"/>
      <c r="V91" s="51"/>
      <c r="W91" s="116"/>
      <c r="X91" s="51"/>
      <c r="AK91" s="1"/>
      <c r="AL91"/>
    </row>
    <row r="92" spans="2:38" x14ac:dyDescent="0.3">
      <c r="N92" s="63"/>
      <c r="O92" s="63"/>
      <c r="Q92" s="22"/>
      <c r="R92" s="51"/>
      <c r="S92" s="51"/>
      <c r="T92" s="51"/>
      <c r="U92" s="51"/>
      <c r="V92" s="51"/>
      <c r="W92" s="116"/>
      <c r="X92" s="51"/>
      <c r="AK92" s="1"/>
      <c r="AL92"/>
    </row>
    <row r="93" spans="2:38" x14ac:dyDescent="0.3">
      <c r="N93" s="159"/>
      <c r="O93" s="159"/>
      <c r="P93" s="158"/>
      <c r="Q93" s="160"/>
      <c r="R93" s="51"/>
      <c r="S93" s="51"/>
      <c r="T93" s="51"/>
      <c r="U93" s="51"/>
      <c r="V93" s="161"/>
      <c r="W93" s="162"/>
      <c r="X93" s="161"/>
      <c r="Y93" s="158"/>
      <c r="Z93" s="158"/>
      <c r="AA93" s="158"/>
      <c r="AB93" s="158"/>
      <c r="AC93" s="158"/>
      <c r="AD93" s="158"/>
      <c r="AK93" s="1"/>
      <c r="AL93"/>
    </row>
    <row r="94" spans="2:38" x14ac:dyDescent="0.3">
      <c r="N94" s="63"/>
      <c r="O94" s="63"/>
      <c r="Q94" s="22"/>
      <c r="R94" s="51"/>
      <c r="S94" s="51"/>
      <c r="T94" s="51"/>
      <c r="U94" s="51"/>
      <c r="V94" s="51"/>
      <c r="W94" s="116"/>
      <c r="X94" s="51"/>
      <c r="AK94" s="1"/>
      <c r="AL94"/>
    </row>
    <row r="95" spans="2:38" x14ac:dyDescent="0.3">
      <c r="N95" s="63"/>
      <c r="O95" s="63"/>
      <c r="Q95" s="22"/>
      <c r="R95" s="51"/>
      <c r="S95" s="51"/>
      <c r="T95" s="51"/>
      <c r="U95" s="51"/>
      <c r="V95" s="51"/>
      <c r="W95" s="116"/>
      <c r="X95" s="51"/>
      <c r="AK95" s="1"/>
      <c r="AL95"/>
    </row>
    <row r="96" spans="2:38" x14ac:dyDescent="0.3">
      <c r="N96" s="63"/>
      <c r="O96" s="63"/>
      <c r="Q96" s="22"/>
      <c r="R96" s="51"/>
      <c r="S96" s="51"/>
      <c r="T96" s="51"/>
      <c r="U96" s="51"/>
      <c r="V96" s="51"/>
      <c r="W96" s="116"/>
      <c r="X96" s="51"/>
      <c r="AK96" s="1"/>
      <c r="AL96"/>
    </row>
    <row r="97" spans="14:38" x14ac:dyDescent="0.3">
      <c r="N97" s="63"/>
      <c r="O97" s="63"/>
      <c r="Q97" s="22"/>
      <c r="R97" s="51"/>
      <c r="S97" s="51"/>
      <c r="T97" s="51"/>
      <c r="U97" s="51"/>
      <c r="V97" s="51"/>
      <c r="W97" s="116"/>
      <c r="X97" s="51"/>
      <c r="AK97" s="1"/>
      <c r="AL97"/>
    </row>
    <row r="98" spans="14:38" x14ac:dyDescent="0.3">
      <c r="N98" s="63"/>
      <c r="O98" s="63"/>
      <c r="Q98" s="22"/>
      <c r="R98" s="51"/>
      <c r="S98" s="51"/>
      <c r="T98" s="51"/>
      <c r="U98" s="51"/>
      <c r="V98" s="51"/>
      <c r="W98" s="116"/>
      <c r="X98" s="51"/>
      <c r="AK98" s="1"/>
      <c r="AL98"/>
    </row>
    <row r="99" spans="14:38" x14ac:dyDescent="0.3">
      <c r="N99" s="63"/>
      <c r="O99" s="63"/>
      <c r="Q99" s="22"/>
      <c r="R99" s="51"/>
      <c r="S99" s="51"/>
      <c r="T99" s="51"/>
      <c r="U99" s="51"/>
      <c r="V99" s="51"/>
      <c r="W99" s="116"/>
      <c r="X99" s="51"/>
      <c r="AK99" s="1"/>
      <c r="AL99"/>
    </row>
    <row r="100" spans="14:38" x14ac:dyDescent="0.3">
      <c r="N100" s="63"/>
      <c r="O100" s="63"/>
      <c r="Q100" s="22"/>
      <c r="R100" s="51"/>
      <c r="S100" s="51"/>
      <c r="T100" s="51"/>
      <c r="U100" s="51"/>
      <c r="V100" s="51"/>
      <c r="W100" s="116"/>
      <c r="X100" s="51"/>
      <c r="AK100" s="1"/>
      <c r="AL100"/>
    </row>
    <row r="101" spans="14:38" x14ac:dyDescent="0.3">
      <c r="N101" s="63"/>
      <c r="O101" s="63"/>
      <c r="Q101" s="22"/>
      <c r="R101" s="51"/>
      <c r="S101" s="51"/>
      <c r="T101" s="51"/>
      <c r="U101" s="51"/>
      <c r="V101" s="51"/>
      <c r="W101" s="116"/>
      <c r="X101" s="51"/>
      <c r="AK101" s="1"/>
      <c r="AL101"/>
    </row>
    <row r="102" spans="14:38" x14ac:dyDescent="0.3">
      <c r="N102" s="63"/>
      <c r="O102" s="63"/>
      <c r="Q102" s="22"/>
      <c r="R102" s="51"/>
      <c r="S102" s="51"/>
      <c r="T102" s="51"/>
      <c r="U102" s="51"/>
      <c r="V102" s="51"/>
      <c r="W102" s="116"/>
      <c r="X102" s="51"/>
      <c r="AK102" s="1"/>
      <c r="AL102"/>
    </row>
    <row r="103" spans="14:38" x14ac:dyDescent="0.3">
      <c r="X103" s="51"/>
      <c r="AK103" s="1"/>
      <c r="AL103"/>
    </row>
    <row r="104" spans="14:38" x14ac:dyDescent="0.3">
      <c r="X104" s="51"/>
      <c r="AK104" s="1"/>
      <c r="AL104"/>
    </row>
    <row r="105" spans="14:38" x14ac:dyDescent="0.3">
      <c r="X105" s="51"/>
      <c r="AK105" s="1"/>
      <c r="AL105"/>
    </row>
    <row r="106" spans="14:38" x14ac:dyDescent="0.3">
      <c r="X106" s="51"/>
      <c r="AK106" s="1"/>
      <c r="AL106"/>
    </row>
    <row r="107" spans="14:38" x14ac:dyDescent="0.3">
      <c r="X107" s="51"/>
      <c r="AK107" s="1"/>
      <c r="AL107"/>
    </row>
    <row r="108" spans="14:38" x14ac:dyDescent="0.3">
      <c r="X108" s="51"/>
      <c r="AK108" s="1"/>
      <c r="AL108"/>
    </row>
    <row r="109" spans="14:38" x14ac:dyDescent="0.3">
      <c r="X109" s="51"/>
      <c r="AK109" s="1"/>
      <c r="AL109"/>
    </row>
    <row r="110" spans="14:38" x14ac:dyDescent="0.3">
      <c r="X110" s="51"/>
      <c r="AK110" s="1"/>
      <c r="AL110"/>
    </row>
    <row r="111" spans="14:38" x14ac:dyDescent="0.3">
      <c r="X111" s="51"/>
      <c r="AK111" s="1"/>
      <c r="AL111"/>
    </row>
    <row r="112" spans="14:38" x14ac:dyDescent="0.3">
      <c r="X112" s="51"/>
      <c r="AK112" s="1"/>
      <c r="AL112"/>
    </row>
    <row r="113" spans="24:38" x14ac:dyDescent="0.3">
      <c r="X113" s="51"/>
      <c r="AK113" s="1"/>
      <c r="AL113"/>
    </row>
    <row r="114" spans="24:38" x14ac:dyDescent="0.3">
      <c r="X114" s="51"/>
      <c r="AK114" s="1"/>
      <c r="AL114"/>
    </row>
    <row r="115" spans="24:38" x14ac:dyDescent="0.3">
      <c r="X115" s="51"/>
      <c r="AK115" s="1"/>
      <c r="AL115"/>
    </row>
    <row r="116" spans="24:38" x14ac:dyDescent="0.3">
      <c r="X116" s="51"/>
      <c r="AK116" s="1"/>
      <c r="AL116"/>
    </row>
    <row r="117" spans="24:38" x14ac:dyDescent="0.3">
      <c r="X117" s="51"/>
      <c r="AK117" s="1"/>
      <c r="AL117"/>
    </row>
    <row r="118" spans="24:38" x14ac:dyDescent="0.3">
      <c r="X118" s="51"/>
      <c r="AK118" s="1"/>
      <c r="AL118"/>
    </row>
    <row r="119" spans="24:38" x14ac:dyDescent="0.3">
      <c r="X119" s="51"/>
      <c r="AK119" s="1"/>
      <c r="AL119"/>
    </row>
    <row r="120" spans="24:38" x14ac:dyDescent="0.3">
      <c r="X120" s="51"/>
      <c r="AK120" s="1"/>
      <c r="AL120"/>
    </row>
    <row r="121" spans="24:38" x14ac:dyDescent="0.3">
      <c r="X121" s="51"/>
      <c r="AK121" s="1"/>
      <c r="AL121"/>
    </row>
    <row r="122" spans="24:38" x14ac:dyDescent="0.3">
      <c r="X122" s="51"/>
      <c r="AK122" s="1"/>
      <c r="AL122"/>
    </row>
    <row r="123" spans="24:38" x14ac:dyDescent="0.3">
      <c r="X123" s="51"/>
      <c r="AK123" s="1"/>
      <c r="AL123"/>
    </row>
    <row r="124" spans="24:38" x14ac:dyDescent="0.3">
      <c r="X124" s="51"/>
      <c r="AK124" s="1"/>
      <c r="AL124"/>
    </row>
    <row r="125" spans="24:38" x14ac:dyDescent="0.3">
      <c r="X125" s="51"/>
    </row>
    <row r="126" spans="24:38" x14ac:dyDescent="0.3">
      <c r="X126" s="51"/>
    </row>
    <row r="127" spans="24:38" x14ac:dyDescent="0.3">
      <c r="X127" s="51"/>
    </row>
    <row r="128" spans="24:38" x14ac:dyDescent="0.3">
      <c r="X128" s="51"/>
    </row>
    <row r="129" spans="24:24" x14ac:dyDescent="0.3">
      <c r="X129" s="51"/>
    </row>
  </sheetData>
  <sheetProtection algorithmName="SHA-512" hashValue="0beA6Uvlx7hkgWM130se0Ou9xq4DkEzFzKRdaDhgf9S8HpBopqo5fjONKxfxXiqpHDGuNRfIdFWjqTRPztcN/A==" saltValue="XUzmpV3csufBIWhDHYGkAg==" spinCount="100000" sheet="1" objects="1" scenarios="1"/>
  <mergeCells count="70">
    <mergeCell ref="AA45:AA46"/>
    <mergeCell ref="AB45:AB46"/>
    <mergeCell ref="AC52:AD52"/>
    <mergeCell ref="Z30:AA30"/>
    <mergeCell ref="AI30:AI32"/>
    <mergeCell ref="Z31:AA31"/>
    <mergeCell ref="AI35:AI37"/>
    <mergeCell ref="AA41:AB41"/>
    <mergeCell ref="AI40:AI42"/>
    <mergeCell ref="AA42:AB42"/>
    <mergeCell ref="Z29:AA29"/>
    <mergeCell ref="Z20:AA20"/>
    <mergeCell ref="AI20:AI22"/>
    <mergeCell ref="Z21:AA21"/>
    <mergeCell ref="Z22:AA22"/>
    <mergeCell ref="Z23:AA23"/>
    <mergeCell ref="Z24:AA24"/>
    <mergeCell ref="Z25:AA25"/>
    <mergeCell ref="AI25:AI27"/>
    <mergeCell ref="Z26:AA26"/>
    <mergeCell ref="Z27:AA27"/>
    <mergeCell ref="Z28:AA28"/>
    <mergeCell ref="AP13:AP14"/>
    <mergeCell ref="Z15:AA16"/>
    <mergeCell ref="AD15:AD16"/>
    <mergeCell ref="AI15:AI17"/>
    <mergeCell ref="Z18:AA18"/>
    <mergeCell ref="AN13:AN14"/>
    <mergeCell ref="AO13:AO14"/>
    <mergeCell ref="Z19:AA19"/>
    <mergeCell ref="AG11:AH11"/>
    <mergeCell ref="AK13:AK14"/>
    <mergeCell ref="AL13:AL14"/>
    <mergeCell ref="AM13:AM14"/>
    <mergeCell ref="D6:G6"/>
    <mergeCell ref="AG6:AH7"/>
    <mergeCell ref="AI6:AI7"/>
    <mergeCell ref="D7:G7"/>
    <mergeCell ref="D9:G9"/>
    <mergeCell ref="Z9:Z10"/>
    <mergeCell ref="AA9:AA10"/>
    <mergeCell ref="AB9:AB10"/>
    <mergeCell ref="AG9:AH9"/>
    <mergeCell ref="AG10:AH10"/>
    <mergeCell ref="D10:G10"/>
    <mergeCell ref="AN2:AQ3"/>
    <mergeCell ref="C3:C4"/>
    <mergeCell ref="D3:G4"/>
    <mergeCell ref="J3:J4"/>
    <mergeCell ref="K3:K4"/>
    <mergeCell ref="Z4:Z5"/>
    <mergeCell ref="AA4:AA5"/>
    <mergeCell ref="AB4:AB5"/>
    <mergeCell ref="AC4:AC5"/>
    <mergeCell ref="AG4:AH5"/>
    <mergeCell ref="T1:T9"/>
    <mergeCell ref="U1:U9"/>
    <mergeCell ref="AG2:AH3"/>
    <mergeCell ref="AI2:AI3"/>
    <mergeCell ref="AL2:AL3"/>
    <mergeCell ref="AM2:AM3"/>
    <mergeCell ref="AI4:AI5"/>
    <mergeCell ref="AL4:AL5"/>
    <mergeCell ref="AM4:AM5"/>
    <mergeCell ref="N1:N9"/>
    <mergeCell ref="O1:O9"/>
    <mergeCell ref="P1:P9"/>
    <mergeCell ref="Q1:Q9"/>
    <mergeCell ref="R1:R9"/>
    <mergeCell ref="S1:S9"/>
  </mergeCells>
  <conditionalFormatting sqref="C15:C41">
    <cfRule type="cellIs" dxfId="28" priority="1" stopIfTrue="1" operator="greaterThan">
      <formula>0</formula>
    </cfRule>
  </conditionalFormatting>
  <conditionalFormatting sqref="E41">
    <cfRule type="expression" dxfId="27" priority="17">
      <formula>R41=TRUE</formula>
    </cfRule>
  </conditionalFormatting>
  <conditionalFormatting sqref="E15:F39">
    <cfRule type="expression" dxfId="26" priority="3">
      <formula>R15=TRUE</formula>
    </cfRule>
  </conditionalFormatting>
  <conditionalFormatting sqref="E40:F41">
    <cfRule type="expression" dxfId="25" priority="19">
      <formula>R40=TRUE</formula>
    </cfRule>
  </conditionalFormatting>
  <conditionalFormatting sqref="F41">
    <cfRule type="expression" dxfId="24" priority="16">
      <formula>S41=TRUE</formula>
    </cfRule>
  </conditionalFormatting>
  <conditionalFormatting sqref="G15:G41">
    <cfRule type="expression" dxfId="23" priority="2">
      <formula>U15=TRUE</formula>
    </cfRule>
  </conditionalFormatting>
  <conditionalFormatting sqref="K15:K41">
    <cfRule type="expression" dxfId="22" priority="4">
      <formula>OR(#REF!="USA",VLOOKUP(D15,FL_COST_COL,2,FALSE)="USA")</formula>
    </cfRule>
  </conditionalFormatting>
  <conditionalFormatting sqref="AA40">
    <cfRule type="cellIs" dxfId="21" priority="11" stopIfTrue="1" operator="equal">
      <formula>"y"</formula>
    </cfRule>
  </conditionalFormatting>
  <conditionalFormatting sqref="AA41:AA42">
    <cfRule type="expression" dxfId="20" priority="20">
      <formula>$Y$41</formula>
    </cfRule>
  </conditionalFormatting>
  <conditionalFormatting sqref="AC18:AC31">
    <cfRule type="cellIs" dxfId="19" priority="13" stopIfTrue="1" operator="equal">
      <formula>"y"</formula>
    </cfRule>
  </conditionalFormatting>
  <conditionalFormatting sqref="AC40:AC42">
    <cfRule type="expression" dxfId="18" priority="10">
      <formula>$Y$41</formula>
    </cfRule>
  </conditionalFormatting>
  <conditionalFormatting sqref="AK16:AK41 AK43:AK57">
    <cfRule type="expression" dxfId="17" priority="15">
      <formula>AK16=AK15</formula>
    </cfRule>
  </conditionalFormatting>
  <conditionalFormatting sqref="AK42">
    <cfRule type="expression" dxfId="16" priority="21">
      <formula>AK42=AK40</formula>
    </cfRule>
  </conditionalFormatting>
  <conditionalFormatting sqref="AM2:AM3">
    <cfRule type="cellIs" dxfId="15" priority="9" operator="lessThan">
      <formula>0.1</formula>
    </cfRule>
  </conditionalFormatting>
  <conditionalFormatting sqref="AP41:AP57">
    <cfRule type="expression" dxfId="14" priority="12">
      <formula>"IFERROR(VLOOKUP(AE17,$Z$13:$AC$35,4,FALSE),0)=0"</formula>
    </cfRule>
  </conditionalFormatting>
  <dataValidations count="12">
    <dataValidation type="list" showInputMessage="1" showErrorMessage="1" sqref="I15:I37" xr:uid="{1332F931-383E-40B3-BCE9-048DA3047864}">
      <formula1>IF(F15="Y",INDIRECT("GLT_"&amp;B15),NO)</formula1>
    </dataValidation>
    <dataValidation showInputMessage="1" showErrorMessage="1" sqref="D38:D41" xr:uid="{C21B6F7A-5BBB-4F72-AA13-6090F4E7D353}"/>
    <dataValidation type="list" allowBlank="1" showInputMessage="1" showErrorMessage="1" sqref="AA42:AB42" xr:uid="{FAACA160-07B6-4B18-BFAF-ECABF9D528B9}">
      <formula1>INDIRECT($Y$42)</formula1>
    </dataValidation>
    <dataValidation type="custom" operator="greaterThan" allowBlank="1" showInputMessage="1" showErrorMessage="1" error="Ask Maray Smith" prompt="MUST BE OVER 10%... IF NOT, ASK MARAY" sqref="AI4:AI5" xr:uid="{95924036-A63D-43BB-9AFA-F3F80E682098}">
      <formula1>AI4&gt;=0.1</formula1>
    </dataValidation>
    <dataValidation type="list" showInputMessage="1" showErrorMessage="1" sqref="K16:K37" xr:uid="{1D15BD4B-1421-457C-9C8E-F952BAE509EB}">
      <formula1>INDIRECT("GR_"&amp;B16)</formula1>
    </dataValidation>
    <dataValidation type="list" showInputMessage="1" showErrorMessage="1" sqref="K15" xr:uid="{0D5EC404-07F3-4F3D-A4E9-1D10A2B14B81}">
      <formula1>INDIRECT("GR_"&amp;$B$15)</formula1>
    </dataValidation>
    <dataValidation type="list" allowBlank="1" showInputMessage="1" showErrorMessage="1" sqref="AH47" xr:uid="{A9F57C75-E3AB-4DC2-8917-BC494C46B9D4}">
      <formula1>INDIRECT($D$17)</formula1>
    </dataValidation>
    <dataValidation type="list" allowBlank="1" showInputMessage="1" showErrorMessage="1" sqref="AG46" xr:uid="{D5B58411-0497-4BC5-B208-4151591A4460}">
      <formula1>INDIRECT($D$16)</formula1>
    </dataValidation>
    <dataValidation type="list" allowBlank="1" showInputMessage="1" showErrorMessage="1" sqref="AA41" xr:uid="{70EC9E3A-5219-4784-BD98-1A0D2DCCD35C}">
      <formula1>INDIRECT($Y$40)</formula1>
    </dataValidation>
    <dataValidation type="list" allowBlank="1" showInputMessage="1" showErrorMessage="1" sqref="AA40" xr:uid="{370D698F-6B64-4717-AA37-0389625C07CF}">
      <formula1>"Y, N"</formula1>
    </dataValidation>
    <dataValidation type="list" allowBlank="1" showInputMessage="1" showErrorMessage="1" sqref="D6:G6" xr:uid="{31F75B11-B586-4F72-A469-6BA7848C2C2C}">
      <formula1>HOLIDAY</formula1>
    </dataValidation>
    <dataValidation type="list" allowBlank="1" showInputMessage="1" showErrorMessage="1" sqref="AI15:AI17 AI20:AI22 AI25:AI27 AI30:AI32 AI35:AI37 AI40:AI42" xr:uid="{B465C232-5585-4A77-827D-11D7DF09495A}">
      <formula1>"0%,5%,10%,15%,20%,25%,30%,35%,40%,45%,50%,55%,60%,65%,70%,75%,80%,85%,90%,100%"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ED95644-4197-4260-AA25-F948329292DC}">
          <x14:formula1>
            <xm:f>'CUST LIST'!$A$2:$A$52</xm:f>
          </x14:formula1>
          <xm:sqref>D7:G7</xm:sqref>
        </x14:dataValidation>
        <x14:dataValidation type="list" allowBlank="1" showInputMessage="1" showErrorMessage="1" xr:uid="{E3242BB4-0700-45AF-A31C-9970ABA21638}">
          <x14:formula1>
            <xm:f>LIST!$A$159</xm:f>
          </x14:formula1>
          <xm:sqref>D9:G9</xm:sqref>
        </x14:dataValidation>
        <x14:dataValidation type="list" allowBlank="1" showInputMessage="1" showErrorMessage="1" xr:uid="{030A5BFD-DE93-4E0D-942D-AAE522FA1BF9}">
          <x14:formula1>
            <xm:f>LIST!$A$146:$A$155</xm:f>
          </x14:formula1>
          <xm:sqref>Z6</xm:sqref>
        </x14:dataValidation>
        <x14:dataValidation type="list" allowBlank="1" showInputMessage="1" showErrorMessage="1" xr:uid="{F8A84E5A-DB76-4704-A2E2-932B24799273}">
          <x14:formula1>
            <xm:f>'FL COST'!$J$4:$J$5</xm:f>
          </x14:formula1>
          <xm:sqref>D10:G10</xm:sqref>
        </x14:dataValidation>
        <x14:dataValidation type="list" showInputMessage="1" showErrorMessage="1" xr:uid="{29C8EB93-EC2E-4D16-8CDB-D2742340028F}">
          <x14:formula1>
            <xm:f>'FL COST'!$A$2:$A$81</xm:f>
          </x14:formula1>
          <xm:sqref>D15:D37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97"/>
  <sheetViews>
    <sheetView workbookViewId="0">
      <pane ySplit="1" topLeftCell="A2" activePane="bottomLeft" state="frozen"/>
      <selection activeCell="A173" sqref="A173"/>
      <selection pane="bottomLeft" activeCell="C202" sqref="C202"/>
    </sheetView>
  </sheetViews>
  <sheetFormatPr defaultColWidth="10.109375" defaultRowHeight="14.4" x14ac:dyDescent="0.3"/>
  <cols>
    <col min="1" max="1" width="11.44140625" customWidth="1"/>
    <col min="2" max="2" width="52.6640625" bestFit="1" customWidth="1"/>
    <col min="3" max="3" width="51.109375" bestFit="1" customWidth="1"/>
    <col min="4" max="4" width="14.109375" bestFit="1" customWidth="1"/>
    <col min="5" max="5" width="67.44140625" bestFit="1" customWidth="1"/>
    <col min="6" max="6" width="19.109375" customWidth="1"/>
  </cols>
  <sheetData>
    <row r="1" spans="1:6" s="1" customFormat="1" ht="31.5" customHeight="1" x14ac:dyDescent="0.3"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x14ac:dyDescent="0.3">
      <c r="A2">
        <f>IF(C2=C1,A1+1,1)</f>
        <v>1</v>
      </c>
      <c r="B2" t="str">
        <f>A2&amp;"-"&amp;C2</f>
        <v>1-365 BY WHOLE FOODS</v>
      </c>
      <c r="C2" t="s">
        <v>117</v>
      </c>
      <c r="D2" t="s">
        <v>75</v>
      </c>
      <c r="E2" t="s">
        <v>118</v>
      </c>
      <c r="F2" t="s">
        <v>119</v>
      </c>
    </row>
    <row r="3" spans="1:6" x14ac:dyDescent="0.3">
      <c r="A3">
        <f t="shared" ref="A3:A66" si="0">IF(C3=C2,A2+1,1)</f>
        <v>1</v>
      </c>
      <c r="B3" t="str">
        <f t="shared" ref="B3:B66" si="1">A3&amp;"-"&amp;C3</f>
        <v>1-NEW CUSTOMER</v>
      </c>
      <c r="C3" t="s">
        <v>120</v>
      </c>
      <c r="D3" t="s">
        <v>52</v>
      </c>
      <c r="E3" t="s">
        <v>121</v>
      </c>
      <c r="F3">
        <v>0</v>
      </c>
    </row>
    <row r="4" spans="1:6" x14ac:dyDescent="0.3">
      <c r="A4">
        <f t="shared" si="0"/>
        <v>2</v>
      </c>
      <c r="B4" t="str">
        <f t="shared" si="1"/>
        <v>2-NEW CUSTOMER</v>
      </c>
      <c r="C4" t="s">
        <v>120</v>
      </c>
      <c r="D4" t="s">
        <v>66</v>
      </c>
      <c r="E4" t="s">
        <v>122</v>
      </c>
      <c r="F4">
        <v>0</v>
      </c>
    </row>
    <row r="5" spans="1:6" x14ac:dyDescent="0.3">
      <c r="A5">
        <f t="shared" si="0"/>
        <v>3</v>
      </c>
      <c r="B5" t="str">
        <f t="shared" si="1"/>
        <v>3-NEW CUSTOMER</v>
      </c>
      <c r="C5" t="s">
        <v>120</v>
      </c>
      <c r="D5" t="s">
        <v>75</v>
      </c>
      <c r="E5" t="s">
        <v>123</v>
      </c>
      <c r="F5">
        <v>0</v>
      </c>
    </row>
    <row r="6" spans="1:6" x14ac:dyDescent="0.3">
      <c r="A6">
        <f t="shared" si="0"/>
        <v>4</v>
      </c>
      <c r="B6" t="str">
        <f t="shared" si="1"/>
        <v>4-NEW CUSTOMER</v>
      </c>
      <c r="C6" t="s">
        <v>120</v>
      </c>
      <c r="D6" t="s">
        <v>82</v>
      </c>
      <c r="E6" t="s">
        <v>124</v>
      </c>
      <c r="F6">
        <v>0</v>
      </c>
    </row>
    <row r="7" spans="1:6" x14ac:dyDescent="0.3">
      <c r="A7">
        <f t="shared" si="0"/>
        <v>5</v>
      </c>
      <c r="B7" t="str">
        <f t="shared" si="1"/>
        <v>5-NEW CUSTOMER</v>
      </c>
      <c r="C7" t="s">
        <v>120</v>
      </c>
      <c r="D7" t="s">
        <v>125</v>
      </c>
      <c r="E7" t="s">
        <v>126</v>
      </c>
      <c r="F7">
        <v>0</v>
      </c>
    </row>
    <row r="8" spans="1:6" x14ac:dyDescent="0.3">
      <c r="A8">
        <f t="shared" si="0"/>
        <v>1</v>
      </c>
      <c r="B8" t="str">
        <f t="shared" si="1"/>
        <v>1-OPEN DESIGN</v>
      </c>
      <c r="C8" t="s">
        <v>127</v>
      </c>
      <c r="D8" t="s">
        <v>52</v>
      </c>
      <c r="E8" t="s">
        <v>128</v>
      </c>
      <c r="F8">
        <v>0</v>
      </c>
    </row>
    <row r="9" spans="1:6" x14ac:dyDescent="0.3">
      <c r="A9">
        <f t="shared" si="0"/>
        <v>2</v>
      </c>
      <c r="B9" t="str">
        <f t="shared" si="1"/>
        <v>2-OPEN DESIGN</v>
      </c>
      <c r="C9" t="s">
        <v>127</v>
      </c>
      <c r="D9" t="s">
        <v>66</v>
      </c>
      <c r="E9" t="s">
        <v>129</v>
      </c>
      <c r="F9">
        <v>0</v>
      </c>
    </row>
    <row r="10" spans="1:6" x14ac:dyDescent="0.3">
      <c r="A10">
        <f t="shared" si="0"/>
        <v>3</v>
      </c>
      <c r="B10" t="str">
        <f t="shared" si="1"/>
        <v>3-OPEN DESIGN</v>
      </c>
      <c r="C10" t="s">
        <v>127</v>
      </c>
      <c r="D10" t="s">
        <v>75</v>
      </c>
      <c r="E10" t="s">
        <v>130</v>
      </c>
      <c r="F10">
        <v>0</v>
      </c>
    </row>
    <row r="11" spans="1:6" x14ac:dyDescent="0.3">
      <c r="A11">
        <f t="shared" si="0"/>
        <v>4</v>
      </c>
      <c r="B11" t="str">
        <f t="shared" si="1"/>
        <v>4-OPEN DESIGN</v>
      </c>
      <c r="C11" t="s">
        <v>127</v>
      </c>
      <c r="D11" t="s">
        <v>82</v>
      </c>
      <c r="E11" t="s">
        <v>131</v>
      </c>
      <c r="F11">
        <v>0</v>
      </c>
    </row>
    <row r="12" spans="1:6" x14ac:dyDescent="0.3">
      <c r="A12">
        <f t="shared" si="0"/>
        <v>5</v>
      </c>
      <c r="B12" t="str">
        <f t="shared" si="1"/>
        <v>5-OPEN DESIGN</v>
      </c>
      <c r="C12" t="s">
        <v>127</v>
      </c>
      <c r="D12" t="s">
        <v>125</v>
      </c>
      <c r="E12" t="s">
        <v>132</v>
      </c>
      <c r="F12">
        <v>0</v>
      </c>
    </row>
    <row r="13" spans="1:6" x14ac:dyDescent="0.3">
      <c r="A13">
        <f t="shared" si="0"/>
        <v>1</v>
      </c>
      <c r="B13" t="str">
        <f t="shared" si="1"/>
        <v>1-ABTFW ASSOCIATED WHOLESALE GROCERS</v>
      </c>
      <c r="C13" t="s">
        <v>133</v>
      </c>
      <c r="D13" t="s">
        <v>52</v>
      </c>
      <c r="E13" t="s">
        <v>133</v>
      </c>
      <c r="F13">
        <v>2.9</v>
      </c>
    </row>
    <row r="14" spans="1:6" x14ac:dyDescent="0.3">
      <c r="A14">
        <f t="shared" si="0"/>
        <v>1</v>
      </c>
      <c r="B14" t="str">
        <f t="shared" si="1"/>
        <v>1-AHOLD</v>
      </c>
      <c r="C14" t="s">
        <v>134</v>
      </c>
      <c r="D14" t="s">
        <v>52</v>
      </c>
      <c r="E14" t="s">
        <v>135</v>
      </c>
      <c r="F14" t="s">
        <v>119</v>
      </c>
    </row>
    <row r="15" spans="1:6" x14ac:dyDescent="0.3">
      <c r="A15">
        <f t="shared" si="0"/>
        <v>2</v>
      </c>
      <c r="B15" t="str">
        <f t="shared" si="1"/>
        <v>2-AHOLD</v>
      </c>
      <c r="C15" t="s">
        <v>134</v>
      </c>
      <c r="D15" t="s">
        <v>52</v>
      </c>
      <c r="E15" t="s">
        <v>136</v>
      </c>
      <c r="F15" t="s">
        <v>119</v>
      </c>
    </row>
    <row r="16" spans="1:6" x14ac:dyDescent="0.3">
      <c r="A16">
        <f t="shared" si="0"/>
        <v>3</v>
      </c>
      <c r="B16" t="str">
        <f t="shared" si="1"/>
        <v>3-AHOLD</v>
      </c>
      <c r="C16" t="s">
        <v>134</v>
      </c>
      <c r="D16" t="s">
        <v>52</v>
      </c>
      <c r="E16" t="s">
        <v>137</v>
      </c>
      <c r="F16" t="s">
        <v>119</v>
      </c>
    </row>
    <row r="17" spans="1:6" x14ac:dyDescent="0.3">
      <c r="A17">
        <f t="shared" si="0"/>
        <v>4</v>
      </c>
      <c r="B17" t="str">
        <f t="shared" si="1"/>
        <v>4-AHOLD</v>
      </c>
      <c r="C17" t="s">
        <v>134</v>
      </c>
      <c r="D17" t="s">
        <v>66</v>
      </c>
      <c r="E17" t="s">
        <v>138</v>
      </c>
      <c r="F17" t="s">
        <v>119</v>
      </c>
    </row>
    <row r="18" spans="1:6" x14ac:dyDescent="0.3">
      <c r="A18">
        <f t="shared" si="0"/>
        <v>5</v>
      </c>
      <c r="B18" t="str">
        <f t="shared" si="1"/>
        <v>5-AHOLD</v>
      </c>
      <c r="C18" t="s">
        <v>134</v>
      </c>
      <c r="D18" t="s">
        <v>66</v>
      </c>
      <c r="E18" t="s">
        <v>139</v>
      </c>
      <c r="F18" t="s">
        <v>119</v>
      </c>
    </row>
    <row r="19" spans="1:6" x14ac:dyDescent="0.3">
      <c r="A19">
        <f t="shared" si="0"/>
        <v>1</v>
      </c>
      <c r="B19" t="str">
        <f t="shared" si="1"/>
        <v>1-ALBERTSON'S IRVINE</v>
      </c>
      <c r="C19" t="s">
        <v>140</v>
      </c>
      <c r="D19" t="s">
        <v>75</v>
      </c>
      <c r="E19" t="s">
        <v>141</v>
      </c>
      <c r="F19" t="s">
        <v>119</v>
      </c>
    </row>
    <row r="20" spans="1:6" x14ac:dyDescent="0.3">
      <c r="A20">
        <f t="shared" si="0"/>
        <v>1</v>
      </c>
      <c r="B20" t="str">
        <f t="shared" si="1"/>
        <v>1-ALBERTSON'S JEWEL</v>
      </c>
      <c r="C20" t="s">
        <v>142</v>
      </c>
      <c r="D20" t="s">
        <v>82</v>
      </c>
      <c r="E20" t="s">
        <v>143</v>
      </c>
      <c r="F20">
        <v>0.3</v>
      </c>
    </row>
    <row r="21" spans="1:6" x14ac:dyDescent="0.3">
      <c r="A21">
        <f t="shared" si="0"/>
        <v>1</v>
      </c>
      <c r="B21" t="str">
        <f t="shared" si="1"/>
        <v>1-ALBERTSON'S LANCASTER</v>
      </c>
      <c r="C21" t="s">
        <v>144</v>
      </c>
      <c r="D21" t="s">
        <v>66</v>
      </c>
      <c r="E21" t="s">
        <v>145</v>
      </c>
      <c r="F21" t="s">
        <v>119</v>
      </c>
    </row>
    <row r="22" spans="1:6" x14ac:dyDescent="0.3">
      <c r="A22">
        <f t="shared" si="0"/>
        <v>2</v>
      </c>
      <c r="B22" t="str">
        <f t="shared" si="1"/>
        <v>2-ALBERTSON'S LANCASTER</v>
      </c>
      <c r="C22" t="s">
        <v>144</v>
      </c>
      <c r="D22" t="s">
        <v>66</v>
      </c>
      <c r="E22" t="s">
        <v>146</v>
      </c>
      <c r="F22" t="s">
        <v>119</v>
      </c>
    </row>
    <row r="23" spans="1:6" x14ac:dyDescent="0.3">
      <c r="A23">
        <f t="shared" si="0"/>
        <v>1</v>
      </c>
      <c r="B23" t="str">
        <f t="shared" si="1"/>
        <v>1-ALBERTSON'S NEWELL &amp; CO</v>
      </c>
      <c r="C23" t="s">
        <v>147</v>
      </c>
      <c r="D23" t="s">
        <v>52</v>
      </c>
      <c r="E23" t="s">
        <v>148</v>
      </c>
      <c r="F23">
        <v>2.35</v>
      </c>
    </row>
    <row r="24" spans="1:6" x14ac:dyDescent="0.3">
      <c r="A24">
        <f t="shared" si="0"/>
        <v>1</v>
      </c>
      <c r="B24" t="str">
        <f t="shared" si="1"/>
        <v>1-ALBERTSON'S PHOENIX</v>
      </c>
      <c r="C24" t="s">
        <v>149</v>
      </c>
      <c r="D24" t="s">
        <v>52</v>
      </c>
      <c r="E24" t="s">
        <v>150</v>
      </c>
      <c r="F24">
        <v>3.88</v>
      </c>
    </row>
    <row r="25" spans="1:6" x14ac:dyDescent="0.3">
      <c r="A25">
        <f t="shared" si="0"/>
        <v>1</v>
      </c>
      <c r="B25" t="str">
        <f t="shared" si="1"/>
        <v>1-ALBERTSON'S PORTLAND</v>
      </c>
      <c r="C25" t="s">
        <v>151</v>
      </c>
      <c r="D25" t="s">
        <v>75</v>
      </c>
      <c r="E25" t="s">
        <v>152</v>
      </c>
      <c r="F25" t="s">
        <v>119</v>
      </c>
    </row>
    <row r="26" spans="1:6" x14ac:dyDescent="0.3">
      <c r="A26">
        <f t="shared" si="0"/>
        <v>2</v>
      </c>
      <c r="B26" t="str">
        <f t="shared" si="1"/>
        <v>2-ALBERTSON'S PORTLAND</v>
      </c>
      <c r="C26" t="s">
        <v>151</v>
      </c>
      <c r="D26" t="s">
        <v>75</v>
      </c>
      <c r="E26" t="s">
        <v>153</v>
      </c>
      <c r="F26" t="s">
        <v>119</v>
      </c>
    </row>
    <row r="27" spans="1:6" x14ac:dyDescent="0.3">
      <c r="A27">
        <f t="shared" si="0"/>
        <v>1</v>
      </c>
      <c r="B27" t="str">
        <f t="shared" si="1"/>
        <v>1-ALBERTSON'S SALT LAKE CITY</v>
      </c>
      <c r="C27" t="s">
        <v>154</v>
      </c>
      <c r="D27" t="s">
        <v>52</v>
      </c>
      <c r="E27" t="s">
        <v>155</v>
      </c>
      <c r="F27" t="s">
        <v>119</v>
      </c>
    </row>
    <row r="28" spans="1:6" x14ac:dyDescent="0.3">
      <c r="A28">
        <f t="shared" si="0"/>
        <v>1</v>
      </c>
      <c r="B28" t="str">
        <f t="shared" si="1"/>
        <v>1-ALBERTSON'S SHAWS</v>
      </c>
      <c r="C28" t="s">
        <v>156</v>
      </c>
      <c r="D28" t="s">
        <v>66</v>
      </c>
      <c r="E28" t="s">
        <v>157</v>
      </c>
      <c r="F28" t="s">
        <v>119</v>
      </c>
    </row>
    <row r="29" spans="1:6" x14ac:dyDescent="0.3">
      <c r="A29">
        <f t="shared" si="0"/>
        <v>2</v>
      </c>
      <c r="B29" t="str">
        <f t="shared" si="1"/>
        <v>2-ALBERTSON'S SHAWS</v>
      </c>
      <c r="C29" t="s">
        <v>156</v>
      </c>
      <c r="D29" t="s">
        <v>66</v>
      </c>
      <c r="E29" t="s">
        <v>158</v>
      </c>
      <c r="F29" t="s">
        <v>119</v>
      </c>
    </row>
    <row r="30" spans="1:6" x14ac:dyDescent="0.3">
      <c r="A30">
        <f t="shared" si="0"/>
        <v>1</v>
      </c>
      <c r="B30" t="str">
        <f t="shared" si="1"/>
        <v>1-ASSOCIATED WHOLESALE GROCERS INC</v>
      </c>
      <c r="C30" t="s">
        <v>159</v>
      </c>
      <c r="D30" t="s">
        <v>52</v>
      </c>
      <c r="E30" t="s">
        <v>160</v>
      </c>
      <c r="F30" t="s">
        <v>119</v>
      </c>
    </row>
    <row r="31" spans="1:6" x14ac:dyDescent="0.3">
      <c r="A31">
        <f t="shared" si="0"/>
        <v>1</v>
      </c>
      <c r="B31" t="str">
        <f t="shared" si="1"/>
        <v>1-BILO</v>
      </c>
      <c r="C31" t="s">
        <v>161</v>
      </c>
      <c r="D31" t="s">
        <v>52</v>
      </c>
      <c r="E31" t="s">
        <v>162</v>
      </c>
      <c r="F31" t="s">
        <v>119</v>
      </c>
    </row>
    <row r="32" spans="1:6" x14ac:dyDescent="0.3">
      <c r="A32">
        <f t="shared" si="0"/>
        <v>1</v>
      </c>
      <c r="B32" t="str">
        <f t="shared" si="1"/>
        <v>1-BOZZUTO´S IGA INC</v>
      </c>
      <c r="C32" t="s">
        <v>163</v>
      </c>
      <c r="D32" t="s">
        <v>66</v>
      </c>
      <c r="E32" t="s">
        <v>164</v>
      </c>
      <c r="F32">
        <v>1.49</v>
      </c>
    </row>
    <row r="33" spans="1:6" x14ac:dyDescent="0.3">
      <c r="A33">
        <f t="shared" si="0"/>
        <v>2</v>
      </c>
      <c r="B33" t="str">
        <f t="shared" si="1"/>
        <v>2-BOZZUTO´S IGA INC</v>
      </c>
      <c r="C33" t="s">
        <v>163</v>
      </c>
      <c r="D33" t="s">
        <v>66</v>
      </c>
      <c r="E33" t="s">
        <v>165</v>
      </c>
      <c r="F33" t="s">
        <v>119</v>
      </c>
    </row>
    <row r="34" spans="1:6" x14ac:dyDescent="0.3">
      <c r="A34">
        <f t="shared" si="0"/>
        <v>1</v>
      </c>
      <c r="B34" t="str">
        <f t="shared" si="1"/>
        <v>1-BRISTOL FARMS</v>
      </c>
      <c r="C34" t="s">
        <v>166</v>
      </c>
      <c r="D34" t="s">
        <v>75</v>
      </c>
      <c r="E34" t="s">
        <v>166</v>
      </c>
      <c r="F34" t="s">
        <v>119</v>
      </c>
    </row>
    <row r="35" spans="1:6" x14ac:dyDescent="0.3">
      <c r="A35">
        <f t="shared" si="0"/>
        <v>1</v>
      </c>
      <c r="B35" t="str">
        <f t="shared" si="1"/>
        <v>1-DBA WESTERN BEEF PRODUCE</v>
      </c>
      <c r="C35" t="s">
        <v>167</v>
      </c>
      <c r="D35" t="s">
        <v>66</v>
      </c>
      <c r="E35" t="s">
        <v>168</v>
      </c>
      <c r="F35" t="s">
        <v>119</v>
      </c>
    </row>
    <row r="36" spans="1:6" x14ac:dyDescent="0.3">
      <c r="A36">
        <f t="shared" si="0"/>
        <v>2</v>
      </c>
      <c r="B36" t="str">
        <f t="shared" si="1"/>
        <v>2-DBA WESTERN BEEF PRODUCE</v>
      </c>
      <c r="C36" t="s">
        <v>167</v>
      </c>
      <c r="D36" t="s">
        <v>66</v>
      </c>
      <c r="E36" t="s">
        <v>169</v>
      </c>
      <c r="F36" t="s">
        <v>119</v>
      </c>
    </row>
    <row r="37" spans="1:6" x14ac:dyDescent="0.3">
      <c r="A37">
        <f t="shared" si="0"/>
        <v>3</v>
      </c>
      <c r="B37" t="str">
        <f t="shared" si="1"/>
        <v>3-DBA WESTERN BEEF PRODUCE</v>
      </c>
      <c r="C37" t="s">
        <v>167</v>
      </c>
      <c r="D37" t="s">
        <v>66</v>
      </c>
      <c r="E37" t="s">
        <v>170</v>
      </c>
      <c r="F37" t="s">
        <v>119</v>
      </c>
    </row>
    <row r="38" spans="1:6" x14ac:dyDescent="0.3">
      <c r="A38">
        <f t="shared" si="0"/>
        <v>4</v>
      </c>
      <c r="B38" t="str">
        <f t="shared" si="1"/>
        <v>4-DBA WESTERN BEEF PRODUCE</v>
      </c>
      <c r="C38" t="s">
        <v>167</v>
      </c>
      <c r="D38" t="s">
        <v>66</v>
      </c>
      <c r="E38" t="s">
        <v>171</v>
      </c>
      <c r="F38" t="s">
        <v>119</v>
      </c>
    </row>
    <row r="39" spans="1:6" x14ac:dyDescent="0.3">
      <c r="A39">
        <f t="shared" si="0"/>
        <v>1</v>
      </c>
      <c r="B39" t="str">
        <f t="shared" si="1"/>
        <v>1-EARTH FARE INC</v>
      </c>
      <c r="C39" t="s">
        <v>172</v>
      </c>
      <c r="D39" t="s">
        <v>52</v>
      </c>
      <c r="E39" t="s">
        <v>173</v>
      </c>
      <c r="F39" t="s">
        <v>119</v>
      </c>
    </row>
    <row r="40" spans="1:6" x14ac:dyDescent="0.3">
      <c r="A40">
        <f t="shared" si="0"/>
        <v>1</v>
      </c>
      <c r="B40" t="str">
        <f t="shared" si="1"/>
        <v>1-EFS FRESH DIRECT, LLC</v>
      </c>
      <c r="C40" t="s">
        <v>174</v>
      </c>
      <c r="D40" t="s">
        <v>66</v>
      </c>
      <c r="E40" t="s">
        <v>175</v>
      </c>
      <c r="F40" t="s">
        <v>119</v>
      </c>
    </row>
    <row r="41" spans="1:6" x14ac:dyDescent="0.3">
      <c r="A41">
        <f t="shared" si="0"/>
        <v>1</v>
      </c>
      <c r="B41" t="str">
        <f t="shared" si="1"/>
        <v>1-EFS INDIANA GROCERY GROUP, LLC</v>
      </c>
      <c r="C41" t="s">
        <v>176</v>
      </c>
      <c r="D41" t="s">
        <v>82</v>
      </c>
      <c r="E41" t="s">
        <v>177</v>
      </c>
      <c r="F41">
        <v>0.8</v>
      </c>
    </row>
    <row r="42" spans="1:6" x14ac:dyDescent="0.3">
      <c r="A42">
        <f t="shared" si="0"/>
        <v>1</v>
      </c>
      <c r="B42" t="str">
        <f t="shared" si="1"/>
        <v>1-WALMART</v>
      </c>
      <c r="C42" t="s">
        <v>178</v>
      </c>
      <c r="D42" t="s">
        <v>75</v>
      </c>
      <c r="E42" t="s">
        <v>179</v>
      </c>
      <c r="F42">
        <v>2.1</v>
      </c>
    </row>
    <row r="43" spans="1:6" x14ac:dyDescent="0.3">
      <c r="A43">
        <f t="shared" si="0"/>
        <v>2</v>
      </c>
      <c r="B43" t="str">
        <f t="shared" si="1"/>
        <v>2-WALMART</v>
      </c>
      <c r="C43" t="s">
        <v>178</v>
      </c>
      <c r="D43" t="s">
        <v>75</v>
      </c>
      <c r="E43" t="s">
        <v>180</v>
      </c>
      <c r="F43">
        <v>2.1</v>
      </c>
    </row>
    <row r="44" spans="1:6" x14ac:dyDescent="0.3">
      <c r="A44">
        <f t="shared" si="0"/>
        <v>3</v>
      </c>
      <c r="B44" t="str">
        <f t="shared" si="1"/>
        <v>3-WALMART</v>
      </c>
      <c r="C44" t="s">
        <v>178</v>
      </c>
      <c r="D44" t="s">
        <v>75</v>
      </c>
      <c r="E44" t="s">
        <v>181</v>
      </c>
      <c r="F44">
        <v>2.1</v>
      </c>
    </row>
    <row r="45" spans="1:6" x14ac:dyDescent="0.3">
      <c r="A45">
        <f t="shared" si="0"/>
        <v>4</v>
      </c>
      <c r="B45" t="str">
        <f t="shared" si="1"/>
        <v>4-WALMART</v>
      </c>
      <c r="C45" t="s">
        <v>178</v>
      </c>
      <c r="D45" t="s">
        <v>75</v>
      </c>
      <c r="E45" t="s">
        <v>182</v>
      </c>
      <c r="F45">
        <v>2.1</v>
      </c>
    </row>
    <row r="46" spans="1:6" x14ac:dyDescent="0.3">
      <c r="A46">
        <f t="shared" si="0"/>
        <v>5</v>
      </c>
      <c r="B46" t="str">
        <f t="shared" si="1"/>
        <v>5-WALMART</v>
      </c>
      <c r="C46" t="s">
        <v>178</v>
      </c>
      <c r="D46" t="s">
        <v>75</v>
      </c>
      <c r="E46" t="s">
        <v>183</v>
      </c>
      <c r="F46">
        <v>2.1</v>
      </c>
    </row>
    <row r="47" spans="1:6" x14ac:dyDescent="0.3">
      <c r="A47">
        <f t="shared" si="0"/>
        <v>6</v>
      </c>
      <c r="B47" t="str">
        <f t="shared" si="1"/>
        <v>6-WALMART</v>
      </c>
      <c r="C47" t="s">
        <v>178</v>
      </c>
      <c r="D47" t="s">
        <v>75</v>
      </c>
      <c r="E47" t="s">
        <v>184</v>
      </c>
      <c r="F47">
        <v>2.1</v>
      </c>
    </row>
    <row r="48" spans="1:6" x14ac:dyDescent="0.3">
      <c r="A48">
        <f t="shared" si="0"/>
        <v>7</v>
      </c>
      <c r="B48" t="str">
        <f t="shared" si="1"/>
        <v>7-WALMART</v>
      </c>
      <c r="C48" t="s">
        <v>178</v>
      </c>
      <c r="D48" t="s">
        <v>75</v>
      </c>
      <c r="E48" t="s">
        <v>185</v>
      </c>
      <c r="F48">
        <v>2.1</v>
      </c>
    </row>
    <row r="49" spans="1:6" x14ac:dyDescent="0.3">
      <c r="A49">
        <f t="shared" si="0"/>
        <v>8</v>
      </c>
      <c r="B49" t="str">
        <f t="shared" si="1"/>
        <v>8-WALMART</v>
      </c>
      <c r="C49" t="s">
        <v>178</v>
      </c>
      <c r="D49" t="s">
        <v>75</v>
      </c>
      <c r="E49" t="s">
        <v>186</v>
      </c>
      <c r="F49">
        <v>1.1200000000000001</v>
      </c>
    </row>
    <row r="50" spans="1:6" x14ac:dyDescent="0.3">
      <c r="A50">
        <f t="shared" si="0"/>
        <v>9</v>
      </c>
      <c r="B50" t="str">
        <f t="shared" si="1"/>
        <v>9-WALMART</v>
      </c>
      <c r="C50" t="s">
        <v>178</v>
      </c>
      <c r="D50" t="s">
        <v>75</v>
      </c>
      <c r="E50" t="s">
        <v>187</v>
      </c>
      <c r="F50">
        <v>1.1200000000000001</v>
      </c>
    </row>
    <row r="51" spans="1:6" x14ac:dyDescent="0.3">
      <c r="A51">
        <f t="shared" si="0"/>
        <v>10</v>
      </c>
      <c r="B51" t="str">
        <f t="shared" si="1"/>
        <v>10-WALMART</v>
      </c>
      <c r="C51" t="s">
        <v>178</v>
      </c>
      <c r="D51" t="s">
        <v>52</v>
      </c>
      <c r="E51" t="s">
        <v>188</v>
      </c>
      <c r="F51">
        <v>2.1</v>
      </c>
    </row>
    <row r="52" spans="1:6" x14ac:dyDescent="0.3">
      <c r="A52">
        <f t="shared" si="0"/>
        <v>11</v>
      </c>
      <c r="B52" t="str">
        <f t="shared" si="1"/>
        <v>11-WALMART</v>
      </c>
      <c r="C52" t="s">
        <v>178</v>
      </c>
      <c r="D52" t="s">
        <v>52</v>
      </c>
      <c r="E52" t="s">
        <v>189</v>
      </c>
      <c r="F52">
        <v>2.1</v>
      </c>
    </row>
    <row r="53" spans="1:6" x14ac:dyDescent="0.3">
      <c r="A53">
        <f t="shared" si="0"/>
        <v>12</v>
      </c>
      <c r="B53" t="str">
        <f t="shared" si="1"/>
        <v>12-WALMART</v>
      </c>
      <c r="C53" t="s">
        <v>178</v>
      </c>
      <c r="D53" t="s">
        <v>52</v>
      </c>
      <c r="E53" t="s">
        <v>190</v>
      </c>
      <c r="F53">
        <v>2.1</v>
      </c>
    </row>
    <row r="54" spans="1:6" x14ac:dyDescent="0.3">
      <c r="A54">
        <f t="shared" si="0"/>
        <v>13</v>
      </c>
      <c r="B54" t="str">
        <f t="shared" si="1"/>
        <v>13-WALMART</v>
      </c>
      <c r="C54" t="s">
        <v>178</v>
      </c>
      <c r="D54" t="s">
        <v>52</v>
      </c>
      <c r="E54" t="s">
        <v>191</v>
      </c>
      <c r="F54">
        <v>2.1</v>
      </c>
    </row>
    <row r="55" spans="1:6" x14ac:dyDescent="0.3">
      <c r="A55">
        <f t="shared" si="0"/>
        <v>14</v>
      </c>
      <c r="B55" t="str">
        <f t="shared" si="1"/>
        <v>14-WALMART</v>
      </c>
      <c r="C55" t="s">
        <v>178</v>
      </c>
      <c r="D55" t="s">
        <v>52</v>
      </c>
      <c r="E55" t="s">
        <v>192</v>
      </c>
      <c r="F55">
        <v>2.1</v>
      </c>
    </row>
    <row r="56" spans="1:6" x14ac:dyDescent="0.3">
      <c r="A56">
        <f t="shared" si="0"/>
        <v>15</v>
      </c>
      <c r="B56" t="str">
        <f t="shared" si="1"/>
        <v>15-WALMART</v>
      </c>
      <c r="C56" t="s">
        <v>178</v>
      </c>
      <c r="D56" t="s">
        <v>52</v>
      </c>
      <c r="E56" t="s">
        <v>193</v>
      </c>
      <c r="F56">
        <v>2.1</v>
      </c>
    </row>
    <row r="57" spans="1:6" x14ac:dyDescent="0.3">
      <c r="A57">
        <f t="shared" si="0"/>
        <v>16</v>
      </c>
      <c r="B57" t="str">
        <f t="shared" si="1"/>
        <v>16-WALMART</v>
      </c>
      <c r="C57" t="s">
        <v>178</v>
      </c>
      <c r="D57" t="s">
        <v>52</v>
      </c>
      <c r="E57" t="s">
        <v>194</v>
      </c>
      <c r="F57">
        <v>2.1</v>
      </c>
    </row>
    <row r="58" spans="1:6" x14ac:dyDescent="0.3">
      <c r="A58">
        <f t="shared" si="0"/>
        <v>17</v>
      </c>
      <c r="B58" t="str">
        <f t="shared" si="1"/>
        <v>17-WALMART</v>
      </c>
      <c r="C58" t="s">
        <v>178</v>
      </c>
      <c r="D58" t="s">
        <v>52</v>
      </c>
      <c r="E58" t="s">
        <v>195</v>
      </c>
      <c r="F58">
        <v>2.1</v>
      </c>
    </row>
    <row r="59" spans="1:6" x14ac:dyDescent="0.3">
      <c r="A59">
        <f t="shared" si="0"/>
        <v>18</v>
      </c>
      <c r="B59" t="str">
        <f t="shared" si="1"/>
        <v>18-WALMART</v>
      </c>
      <c r="C59" t="s">
        <v>178</v>
      </c>
      <c r="D59" t="s">
        <v>52</v>
      </c>
      <c r="E59" t="s">
        <v>196</v>
      </c>
      <c r="F59">
        <v>2.1</v>
      </c>
    </row>
    <row r="60" spans="1:6" x14ac:dyDescent="0.3">
      <c r="A60">
        <f t="shared" si="0"/>
        <v>19</v>
      </c>
      <c r="B60" t="str">
        <f t="shared" si="1"/>
        <v>19-WALMART</v>
      </c>
      <c r="C60" t="s">
        <v>178</v>
      </c>
      <c r="D60" t="s">
        <v>52</v>
      </c>
      <c r="E60" t="s">
        <v>197</v>
      </c>
      <c r="F60">
        <v>2.1</v>
      </c>
    </row>
    <row r="61" spans="1:6" x14ac:dyDescent="0.3">
      <c r="A61">
        <f t="shared" si="0"/>
        <v>20</v>
      </c>
      <c r="B61" t="str">
        <f t="shared" si="1"/>
        <v>20-WALMART</v>
      </c>
      <c r="C61" t="s">
        <v>178</v>
      </c>
      <c r="D61" t="s">
        <v>52</v>
      </c>
      <c r="E61" t="s">
        <v>198</v>
      </c>
      <c r="F61">
        <v>2.1</v>
      </c>
    </row>
    <row r="62" spans="1:6" x14ac:dyDescent="0.3">
      <c r="A62">
        <f t="shared" si="0"/>
        <v>21</v>
      </c>
      <c r="B62" t="str">
        <f t="shared" si="1"/>
        <v>21-WALMART</v>
      </c>
      <c r="C62" t="s">
        <v>178</v>
      </c>
      <c r="D62" t="s">
        <v>52</v>
      </c>
      <c r="E62" t="s">
        <v>199</v>
      </c>
      <c r="F62">
        <v>2.1</v>
      </c>
    </row>
    <row r="63" spans="1:6" x14ac:dyDescent="0.3">
      <c r="A63">
        <f t="shared" si="0"/>
        <v>22</v>
      </c>
      <c r="B63" t="str">
        <f t="shared" si="1"/>
        <v>22-WALMART</v>
      </c>
      <c r="C63" t="s">
        <v>178</v>
      </c>
      <c r="D63" t="s">
        <v>52</v>
      </c>
      <c r="E63" t="s">
        <v>200</v>
      </c>
      <c r="F63">
        <v>2.1</v>
      </c>
    </row>
    <row r="64" spans="1:6" x14ac:dyDescent="0.3">
      <c r="A64">
        <f t="shared" si="0"/>
        <v>23</v>
      </c>
      <c r="B64" t="str">
        <f t="shared" si="1"/>
        <v>23-WALMART</v>
      </c>
      <c r="C64" t="s">
        <v>178</v>
      </c>
      <c r="D64" t="s">
        <v>52</v>
      </c>
      <c r="E64" t="s">
        <v>201</v>
      </c>
      <c r="F64">
        <v>2.1</v>
      </c>
    </row>
    <row r="65" spans="1:6" x14ac:dyDescent="0.3">
      <c r="A65">
        <f t="shared" si="0"/>
        <v>24</v>
      </c>
      <c r="B65" t="str">
        <f t="shared" si="1"/>
        <v>24-WALMART</v>
      </c>
      <c r="C65" t="s">
        <v>178</v>
      </c>
      <c r="D65" t="s">
        <v>52</v>
      </c>
      <c r="E65" t="s">
        <v>202</v>
      </c>
      <c r="F65">
        <v>2.1</v>
      </c>
    </row>
    <row r="66" spans="1:6" x14ac:dyDescent="0.3">
      <c r="A66">
        <f t="shared" si="0"/>
        <v>25</v>
      </c>
      <c r="B66" t="str">
        <f t="shared" si="1"/>
        <v>25-WALMART</v>
      </c>
      <c r="C66" t="s">
        <v>178</v>
      </c>
      <c r="D66" t="s">
        <v>52</v>
      </c>
      <c r="E66" t="s">
        <v>203</v>
      </c>
      <c r="F66">
        <v>2.1</v>
      </c>
    </row>
    <row r="67" spans="1:6" x14ac:dyDescent="0.3">
      <c r="A67">
        <f t="shared" ref="A67:A98" si="2">IF(C67=C66,A66+1,1)</f>
        <v>26</v>
      </c>
      <c r="B67" t="str">
        <f t="shared" ref="B67:B133" si="3">A67&amp;"-"&amp;C67</f>
        <v>26-WALMART</v>
      </c>
      <c r="C67" t="s">
        <v>178</v>
      </c>
      <c r="D67" t="s">
        <v>52</v>
      </c>
      <c r="E67" t="s">
        <v>204</v>
      </c>
      <c r="F67">
        <v>2.1</v>
      </c>
    </row>
    <row r="68" spans="1:6" x14ac:dyDescent="0.3">
      <c r="A68">
        <f t="shared" si="2"/>
        <v>27</v>
      </c>
      <c r="B68" t="str">
        <f t="shared" si="3"/>
        <v>27-WALMART</v>
      </c>
      <c r="C68" t="s">
        <v>178</v>
      </c>
      <c r="D68" t="s">
        <v>52</v>
      </c>
      <c r="E68" t="s">
        <v>205</v>
      </c>
      <c r="F68">
        <v>2.1</v>
      </c>
    </row>
    <row r="69" spans="1:6" x14ac:dyDescent="0.3">
      <c r="A69">
        <f t="shared" si="2"/>
        <v>28</v>
      </c>
      <c r="B69" t="str">
        <f t="shared" si="3"/>
        <v>28-WALMART</v>
      </c>
      <c r="C69" t="s">
        <v>178</v>
      </c>
      <c r="D69" t="s">
        <v>52</v>
      </c>
      <c r="E69" t="s">
        <v>206</v>
      </c>
      <c r="F69">
        <v>2.1</v>
      </c>
    </row>
    <row r="70" spans="1:6" x14ac:dyDescent="0.3">
      <c r="A70">
        <f t="shared" si="2"/>
        <v>29</v>
      </c>
      <c r="B70" t="str">
        <f t="shared" si="3"/>
        <v>29-WALMART</v>
      </c>
      <c r="C70" t="s">
        <v>178</v>
      </c>
      <c r="D70" t="s">
        <v>52</v>
      </c>
      <c r="E70" t="s">
        <v>207</v>
      </c>
      <c r="F70">
        <v>2.1</v>
      </c>
    </row>
    <row r="71" spans="1:6" x14ac:dyDescent="0.3">
      <c r="A71">
        <f t="shared" si="2"/>
        <v>30</v>
      </c>
      <c r="B71" t="str">
        <f t="shared" si="3"/>
        <v>30-WALMART</v>
      </c>
      <c r="C71" t="s">
        <v>178</v>
      </c>
      <c r="D71" t="s">
        <v>52</v>
      </c>
      <c r="E71" t="s">
        <v>208</v>
      </c>
      <c r="F71">
        <v>2.1</v>
      </c>
    </row>
    <row r="72" spans="1:6" x14ac:dyDescent="0.3">
      <c r="A72">
        <f t="shared" si="2"/>
        <v>31</v>
      </c>
      <c r="B72" t="str">
        <f t="shared" si="3"/>
        <v>31-WALMART</v>
      </c>
      <c r="C72" t="s">
        <v>178</v>
      </c>
      <c r="D72" t="s">
        <v>52</v>
      </c>
      <c r="E72" t="s">
        <v>209</v>
      </c>
      <c r="F72">
        <v>2.1</v>
      </c>
    </row>
    <row r="73" spans="1:6" x14ac:dyDescent="0.3">
      <c r="A73">
        <f t="shared" si="2"/>
        <v>32</v>
      </c>
      <c r="B73" t="str">
        <f t="shared" si="3"/>
        <v>32-WALMART</v>
      </c>
      <c r="C73" t="s">
        <v>178</v>
      </c>
      <c r="D73" t="s">
        <v>52</v>
      </c>
      <c r="E73" t="s">
        <v>210</v>
      </c>
      <c r="F73">
        <v>2.1</v>
      </c>
    </row>
    <row r="74" spans="1:6" x14ac:dyDescent="0.3">
      <c r="A74">
        <f t="shared" si="2"/>
        <v>33</v>
      </c>
      <c r="B74" t="str">
        <f t="shared" si="3"/>
        <v>33-WALMART</v>
      </c>
      <c r="C74" t="s">
        <v>178</v>
      </c>
      <c r="D74" t="s">
        <v>52</v>
      </c>
      <c r="E74" t="s">
        <v>211</v>
      </c>
      <c r="F74">
        <v>2.1</v>
      </c>
    </row>
    <row r="75" spans="1:6" x14ac:dyDescent="0.3">
      <c r="A75">
        <f t="shared" si="2"/>
        <v>34</v>
      </c>
      <c r="B75" t="str">
        <f t="shared" si="3"/>
        <v>34-WALMART</v>
      </c>
      <c r="C75" t="s">
        <v>178</v>
      </c>
      <c r="D75" t="s">
        <v>52</v>
      </c>
      <c r="E75" t="s">
        <v>212</v>
      </c>
      <c r="F75">
        <v>2.1</v>
      </c>
    </row>
    <row r="76" spans="1:6" x14ac:dyDescent="0.3">
      <c r="A76">
        <f t="shared" si="2"/>
        <v>35</v>
      </c>
      <c r="B76" t="str">
        <f t="shared" si="3"/>
        <v>35-WALMART</v>
      </c>
      <c r="C76" t="s">
        <v>178</v>
      </c>
      <c r="D76" t="s">
        <v>52</v>
      </c>
      <c r="E76" t="s">
        <v>213</v>
      </c>
      <c r="F76">
        <v>2.1</v>
      </c>
    </row>
    <row r="77" spans="1:6" x14ac:dyDescent="0.3">
      <c r="A77">
        <f t="shared" si="2"/>
        <v>36</v>
      </c>
      <c r="B77" t="str">
        <f t="shared" si="3"/>
        <v>36-WALMART</v>
      </c>
      <c r="C77" t="s">
        <v>178</v>
      </c>
      <c r="D77" t="s">
        <v>52</v>
      </c>
      <c r="E77" t="s">
        <v>214</v>
      </c>
      <c r="F77">
        <v>2.1</v>
      </c>
    </row>
    <row r="78" spans="1:6" x14ac:dyDescent="0.3">
      <c r="A78">
        <f t="shared" si="2"/>
        <v>37</v>
      </c>
      <c r="B78" t="str">
        <f t="shared" si="3"/>
        <v>37-WALMART</v>
      </c>
      <c r="C78" t="s">
        <v>178</v>
      </c>
      <c r="D78" t="s">
        <v>52</v>
      </c>
      <c r="E78" t="s">
        <v>215</v>
      </c>
      <c r="F78">
        <v>2.1</v>
      </c>
    </row>
    <row r="79" spans="1:6" x14ac:dyDescent="0.3">
      <c r="A79">
        <f t="shared" si="2"/>
        <v>38</v>
      </c>
      <c r="B79" t="str">
        <f t="shared" si="3"/>
        <v>38-WALMART</v>
      </c>
      <c r="C79" t="s">
        <v>178</v>
      </c>
      <c r="D79" t="s">
        <v>52</v>
      </c>
      <c r="E79" t="s">
        <v>216</v>
      </c>
      <c r="F79">
        <v>2.1</v>
      </c>
    </row>
    <row r="80" spans="1:6" x14ac:dyDescent="0.3">
      <c r="A80">
        <f t="shared" si="2"/>
        <v>39</v>
      </c>
      <c r="B80" t="str">
        <f t="shared" si="3"/>
        <v>39-WALMART</v>
      </c>
      <c r="C80" t="s">
        <v>178</v>
      </c>
      <c r="D80" t="s">
        <v>52</v>
      </c>
      <c r="E80" t="s">
        <v>217</v>
      </c>
      <c r="F80">
        <v>2.1</v>
      </c>
    </row>
    <row r="81" spans="1:6" x14ac:dyDescent="0.3">
      <c r="A81">
        <f t="shared" si="2"/>
        <v>40</v>
      </c>
      <c r="B81" t="str">
        <f t="shared" si="3"/>
        <v>40-WALMART</v>
      </c>
      <c r="C81" t="s">
        <v>178</v>
      </c>
      <c r="D81" t="s">
        <v>52</v>
      </c>
      <c r="E81" t="s">
        <v>218</v>
      </c>
      <c r="F81">
        <v>2.1</v>
      </c>
    </row>
    <row r="82" spans="1:6" x14ac:dyDescent="0.3">
      <c r="A82">
        <f t="shared" si="2"/>
        <v>41</v>
      </c>
      <c r="B82" t="str">
        <f t="shared" si="3"/>
        <v>41-WALMART</v>
      </c>
      <c r="C82" t="s">
        <v>178</v>
      </c>
      <c r="D82" t="s">
        <v>52</v>
      </c>
      <c r="E82" t="s">
        <v>219</v>
      </c>
      <c r="F82">
        <v>2.1</v>
      </c>
    </row>
    <row r="83" spans="1:6" x14ac:dyDescent="0.3">
      <c r="A83">
        <f t="shared" si="2"/>
        <v>42</v>
      </c>
      <c r="B83" t="str">
        <f t="shared" si="3"/>
        <v>42-WALMART</v>
      </c>
      <c r="C83" t="s">
        <v>178</v>
      </c>
      <c r="D83" t="s">
        <v>52</v>
      </c>
      <c r="E83" t="s">
        <v>220</v>
      </c>
      <c r="F83">
        <v>2.1</v>
      </c>
    </row>
    <row r="84" spans="1:6" x14ac:dyDescent="0.3">
      <c r="A84">
        <f t="shared" si="2"/>
        <v>43</v>
      </c>
      <c r="B84" t="str">
        <f t="shared" si="3"/>
        <v>43-WALMART</v>
      </c>
      <c r="C84" t="s">
        <v>178</v>
      </c>
      <c r="D84" t="s">
        <v>52</v>
      </c>
      <c r="E84" t="s">
        <v>221</v>
      </c>
      <c r="F84" t="s">
        <v>119</v>
      </c>
    </row>
    <row r="85" spans="1:6" x14ac:dyDescent="0.3">
      <c r="A85">
        <f t="shared" si="2"/>
        <v>1</v>
      </c>
      <c r="B85" t="str">
        <f t="shared" si="3"/>
        <v>1-SAFEWAY</v>
      </c>
      <c r="C85" t="s">
        <v>222</v>
      </c>
      <c r="D85" t="s">
        <v>75</v>
      </c>
      <c r="E85" t="s">
        <v>223</v>
      </c>
      <c r="F85">
        <v>1.4</v>
      </c>
    </row>
    <row r="86" spans="1:6" x14ac:dyDescent="0.3">
      <c r="A86">
        <f t="shared" si="2"/>
        <v>2</v>
      </c>
      <c r="B86" t="str">
        <f t="shared" si="3"/>
        <v>2-SAFEWAY</v>
      </c>
      <c r="C86" t="s">
        <v>222</v>
      </c>
      <c r="D86" t="s">
        <v>75</v>
      </c>
      <c r="E86" t="s">
        <v>224</v>
      </c>
      <c r="F86">
        <v>3.8</v>
      </c>
    </row>
    <row r="87" spans="1:6" x14ac:dyDescent="0.3">
      <c r="A87">
        <f t="shared" si="2"/>
        <v>3</v>
      </c>
      <c r="B87" t="str">
        <f t="shared" si="3"/>
        <v>3-SAFEWAY</v>
      </c>
      <c r="C87" t="s">
        <v>222</v>
      </c>
      <c r="D87" t="s">
        <v>75</v>
      </c>
      <c r="E87" t="s">
        <v>225</v>
      </c>
      <c r="F87">
        <v>0.5</v>
      </c>
    </row>
    <row r="88" spans="1:6" x14ac:dyDescent="0.3">
      <c r="A88">
        <f t="shared" si="2"/>
        <v>4</v>
      </c>
      <c r="B88" t="str">
        <f t="shared" si="3"/>
        <v>4-SAFEWAY</v>
      </c>
      <c r="C88" t="s">
        <v>222</v>
      </c>
      <c r="D88" t="s">
        <v>52</v>
      </c>
      <c r="E88" t="s">
        <v>226</v>
      </c>
      <c r="F88">
        <v>3.8</v>
      </c>
    </row>
    <row r="89" spans="1:6" x14ac:dyDescent="0.3">
      <c r="A89">
        <f t="shared" si="2"/>
        <v>5</v>
      </c>
      <c r="B89" t="str">
        <f t="shared" si="3"/>
        <v>5-SAFEWAY</v>
      </c>
      <c r="C89" t="s">
        <v>222</v>
      </c>
      <c r="D89" t="s">
        <v>52</v>
      </c>
      <c r="E89" t="s">
        <v>227</v>
      </c>
      <c r="F89">
        <v>2.69</v>
      </c>
    </row>
    <row r="90" spans="1:6" x14ac:dyDescent="0.3">
      <c r="A90">
        <f t="shared" si="2"/>
        <v>6</v>
      </c>
      <c r="B90" t="str">
        <f t="shared" si="3"/>
        <v>6-SAFEWAY</v>
      </c>
      <c r="C90" t="s">
        <v>222</v>
      </c>
      <c r="D90" t="s">
        <v>52</v>
      </c>
      <c r="E90" t="s">
        <v>228</v>
      </c>
      <c r="F90">
        <v>3.11</v>
      </c>
    </row>
    <row r="91" spans="1:6" x14ac:dyDescent="0.3">
      <c r="A91">
        <f t="shared" si="2"/>
        <v>7</v>
      </c>
      <c r="B91" t="str">
        <f t="shared" si="3"/>
        <v>7-SAFEWAY</v>
      </c>
      <c r="C91" t="s">
        <v>222</v>
      </c>
      <c r="D91" t="s">
        <v>52</v>
      </c>
      <c r="E91" t="s">
        <v>229</v>
      </c>
      <c r="F91">
        <v>3.66</v>
      </c>
    </row>
    <row r="92" spans="1:6" x14ac:dyDescent="0.3">
      <c r="A92">
        <f t="shared" si="2"/>
        <v>8</v>
      </c>
      <c r="B92" t="str">
        <f t="shared" si="3"/>
        <v>8-SAFEWAY</v>
      </c>
      <c r="C92" t="s">
        <v>222</v>
      </c>
      <c r="D92" t="s">
        <v>52</v>
      </c>
      <c r="E92" t="s">
        <v>230</v>
      </c>
      <c r="F92" t="s">
        <v>119</v>
      </c>
    </row>
    <row r="93" spans="1:6" x14ac:dyDescent="0.3">
      <c r="A93">
        <f t="shared" si="2"/>
        <v>9</v>
      </c>
      <c r="B93" t="str">
        <f t="shared" si="3"/>
        <v>9-SAFEWAY</v>
      </c>
      <c r="C93" t="s">
        <v>222</v>
      </c>
      <c r="D93" t="s">
        <v>52</v>
      </c>
      <c r="E93" t="s">
        <v>231</v>
      </c>
      <c r="F93" t="s">
        <v>119</v>
      </c>
    </row>
    <row r="94" spans="1:6" x14ac:dyDescent="0.3">
      <c r="A94">
        <f t="shared" si="2"/>
        <v>10</v>
      </c>
      <c r="B94" t="str">
        <f t="shared" si="3"/>
        <v>10-SAFEWAY</v>
      </c>
      <c r="C94" t="s">
        <v>222</v>
      </c>
      <c r="D94" t="s">
        <v>52</v>
      </c>
      <c r="E94" t="s">
        <v>232</v>
      </c>
      <c r="F94" t="s">
        <v>119</v>
      </c>
    </row>
    <row r="95" spans="1:6" x14ac:dyDescent="0.3">
      <c r="A95">
        <f t="shared" si="2"/>
        <v>11</v>
      </c>
      <c r="B95" t="str">
        <f t="shared" si="3"/>
        <v>11-SAFEWAY</v>
      </c>
      <c r="C95" t="s">
        <v>222</v>
      </c>
      <c r="D95" t="s">
        <v>52</v>
      </c>
      <c r="E95" t="s">
        <v>233</v>
      </c>
      <c r="F95">
        <v>3.8</v>
      </c>
    </row>
    <row r="96" spans="1:6" x14ac:dyDescent="0.3">
      <c r="A96">
        <f t="shared" si="2"/>
        <v>1</v>
      </c>
      <c r="B96" t="str">
        <f t="shared" si="3"/>
        <v>1-FARM FRESH -SUPERVALU CENTRAL FLORAL WHOLESALE</v>
      </c>
      <c r="C96" t="s">
        <v>234</v>
      </c>
      <c r="D96" t="s">
        <v>52</v>
      </c>
      <c r="E96" t="s">
        <v>235</v>
      </c>
      <c r="F96" t="s">
        <v>119</v>
      </c>
    </row>
    <row r="97" spans="1:6" x14ac:dyDescent="0.3">
      <c r="A97">
        <f t="shared" si="2"/>
        <v>1</v>
      </c>
      <c r="B97" t="str">
        <f t="shared" si="3"/>
        <v>1-GIANT EAGLE</v>
      </c>
      <c r="C97" t="s">
        <v>236</v>
      </c>
      <c r="D97" t="s">
        <v>66</v>
      </c>
      <c r="E97" t="s">
        <v>237</v>
      </c>
      <c r="F97">
        <v>2.42</v>
      </c>
    </row>
    <row r="98" spans="1:6" x14ac:dyDescent="0.3">
      <c r="A98">
        <f t="shared" si="2"/>
        <v>2</v>
      </c>
      <c r="B98" t="str">
        <f t="shared" si="3"/>
        <v>2-GIANT EAGLE</v>
      </c>
      <c r="C98" t="s">
        <v>236</v>
      </c>
      <c r="D98" t="s">
        <v>66</v>
      </c>
      <c r="E98" t="s">
        <v>238</v>
      </c>
      <c r="F98">
        <v>1.06</v>
      </c>
    </row>
    <row r="99" spans="1:6" x14ac:dyDescent="0.3">
      <c r="A99">
        <f t="shared" ref="A99" si="4">IF(C99=C98,A98+1,1)</f>
        <v>1</v>
      </c>
      <c r="B99" t="str">
        <f t="shared" si="3"/>
        <v>1-H.E.BUTT GROCERY COMPANY</v>
      </c>
      <c r="C99" t="s">
        <v>239</v>
      </c>
      <c r="D99" t="s">
        <v>52</v>
      </c>
      <c r="E99" t="s">
        <v>240</v>
      </c>
      <c r="F99">
        <v>0</v>
      </c>
    </row>
    <row r="100" spans="1:6" x14ac:dyDescent="0.3">
      <c r="A100">
        <f t="shared" ref="A100:A164" si="5">IF(C100=C99,A99+1,1)</f>
        <v>1</v>
      </c>
      <c r="B100" t="str">
        <f t="shared" si="3"/>
        <v>1-HARRIS TEETER</v>
      </c>
      <c r="C100" t="s">
        <v>241</v>
      </c>
      <c r="D100" t="s">
        <v>52</v>
      </c>
      <c r="E100" t="s">
        <v>241</v>
      </c>
      <c r="F100">
        <v>0</v>
      </c>
    </row>
    <row r="101" spans="1:6" x14ac:dyDescent="0.3">
      <c r="A101">
        <f t="shared" si="5"/>
        <v>1</v>
      </c>
      <c r="B101" t="str">
        <f t="shared" si="3"/>
        <v>1-PUBLIX</v>
      </c>
      <c r="C101" t="s">
        <v>242</v>
      </c>
      <c r="D101" t="s">
        <v>52</v>
      </c>
      <c r="E101" t="s">
        <v>243</v>
      </c>
      <c r="F101">
        <v>0</v>
      </c>
    </row>
    <row r="102" spans="1:6" x14ac:dyDescent="0.3">
      <c r="A102">
        <f t="shared" si="5"/>
        <v>2</v>
      </c>
      <c r="B102" t="str">
        <f t="shared" si="3"/>
        <v>2-PUBLIX</v>
      </c>
      <c r="C102" t="s">
        <v>242</v>
      </c>
      <c r="D102" t="s">
        <v>52</v>
      </c>
      <c r="E102" t="s">
        <v>244</v>
      </c>
      <c r="F102">
        <v>0</v>
      </c>
    </row>
    <row r="103" spans="1:6" x14ac:dyDescent="0.3">
      <c r="A103">
        <f t="shared" si="5"/>
        <v>3</v>
      </c>
      <c r="B103" t="str">
        <f t="shared" si="3"/>
        <v>3-PUBLIX</v>
      </c>
      <c r="C103" t="s">
        <v>242</v>
      </c>
      <c r="D103" t="s">
        <v>52</v>
      </c>
      <c r="E103" t="s">
        <v>245</v>
      </c>
      <c r="F103">
        <v>0</v>
      </c>
    </row>
    <row r="104" spans="1:6" x14ac:dyDescent="0.3">
      <c r="A104">
        <f t="shared" si="5"/>
        <v>4</v>
      </c>
      <c r="B104" t="str">
        <f t="shared" si="3"/>
        <v>4-PUBLIX</v>
      </c>
      <c r="C104" t="s">
        <v>242</v>
      </c>
      <c r="D104" t="s">
        <v>52</v>
      </c>
      <c r="E104" t="s">
        <v>246</v>
      </c>
      <c r="F104">
        <v>0</v>
      </c>
    </row>
    <row r="105" spans="1:6" x14ac:dyDescent="0.3">
      <c r="A105">
        <f t="shared" si="5"/>
        <v>5</v>
      </c>
      <c r="B105" t="str">
        <f t="shared" si="3"/>
        <v>5-PUBLIX</v>
      </c>
      <c r="C105" t="s">
        <v>242</v>
      </c>
      <c r="D105" t="s">
        <v>52</v>
      </c>
      <c r="E105" t="s">
        <v>52</v>
      </c>
      <c r="F105">
        <v>0</v>
      </c>
    </row>
    <row r="106" spans="1:6" x14ac:dyDescent="0.3">
      <c r="A106">
        <f t="shared" si="5"/>
        <v>1</v>
      </c>
      <c r="B106" t="str">
        <f t="shared" si="3"/>
        <v>1-KEY FLORAL</v>
      </c>
      <c r="C106" t="s">
        <v>247</v>
      </c>
      <c r="D106" t="s">
        <v>66</v>
      </c>
      <c r="E106" t="s">
        <v>247</v>
      </c>
      <c r="F106">
        <v>1.22</v>
      </c>
    </row>
    <row r="107" spans="1:6" x14ac:dyDescent="0.3">
      <c r="A107">
        <f t="shared" si="5"/>
        <v>1</v>
      </c>
      <c r="B107" t="str">
        <f t="shared" si="3"/>
        <v>1-LEGACY FLOWERS S</v>
      </c>
      <c r="C107" t="s">
        <v>248</v>
      </c>
      <c r="D107" t="s">
        <v>249</v>
      </c>
      <c r="E107" t="s">
        <v>248</v>
      </c>
      <c r="F107">
        <v>0</v>
      </c>
    </row>
    <row r="108" spans="1:6" x14ac:dyDescent="0.3">
      <c r="A108">
        <f t="shared" si="5"/>
        <v>1</v>
      </c>
      <c r="B108" t="str">
        <f t="shared" si="3"/>
        <v>1-MATRANAS PRODUCE</v>
      </c>
      <c r="C108" t="s">
        <v>250</v>
      </c>
      <c r="D108" t="s">
        <v>52</v>
      </c>
      <c r="E108" t="s">
        <v>251</v>
      </c>
      <c r="F108" t="s">
        <v>119</v>
      </c>
    </row>
    <row r="109" spans="1:6" x14ac:dyDescent="0.3">
      <c r="A109">
        <f t="shared" si="5"/>
        <v>2</v>
      </c>
      <c r="B109" t="str">
        <f t="shared" si="3"/>
        <v>2-MATRANAS PRODUCE</v>
      </c>
      <c r="C109" t="s">
        <v>250</v>
      </c>
      <c r="D109" t="s">
        <v>52</v>
      </c>
      <c r="E109" t="s">
        <v>252</v>
      </c>
      <c r="F109">
        <v>2.7</v>
      </c>
    </row>
    <row r="110" spans="1:6" x14ac:dyDescent="0.3">
      <c r="A110">
        <f t="shared" si="5"/>
        <v>1</v>
      </c>
      <c r="B110" t="str">
        <f t="shared" si="3"/>
        <v>1-PROCACCI BROTHERS INC.</v>
      </c>
      <c r="C110" t="s">
        <v>253</v>
      </c>
      <c r="D110" t="s">
        <v>66</v>
      </c>
      <c r="E110" t="s">
        <v>254</v>
      </c>
      <c r="F110" t="s">
        <v>119</v>
      </c>
    </row>
    <row r="111" spans="1:6" x14ac:dyDescent="0.3">
      <c r="A111">
        <f t="shared" si="5"/>
        <v>1</v>
      </c>
      <c r="B111" t="str">
        <f t="shared" si="3"/>
        <v>1-RALEY'S SUPERMARKETS</v>
      </c>
      <c r="C111" t="s">
        <v>255</v>
      </c>
      <c r="D111" t="s">
        <v>75</v>
      </c>
      <c r="E111" t="s">
        <v>256</v>
      </c>
      <c r="F111">
        <v>3</v>
      </c>
    </row>
    <row r="112" spans="1:6" x14ac:dyDescent="0.3">
      <c r="A112">
        <f t="shared" si="5"/>
        <v>1</v>
      </c>
      <c r="B112" t="str">
        <f t="shared" si="3"/>
        <v>1-SOLOMON'S FRESH MARKET - BAHAMA'S</v>
      </c>
      <c r="C112" t="s">
        <v>257</v>
      </c>
      <c r="D112" t="s">
        <v>52</v>
      </c>
      <c r="E112" t="s">
        <v>258</v>
      </c>
      <c r="F112">
        <v>0</v>
      </c>
    </row>
    <row r="113" spans="1:6" x14ac:dyDescent="0.3">
      <c r="A113">
        <f t="shared" si="5"/>
        <v>2</v>
      </c>
      <c r="B113" t="str">
        <f t="shared" si="3"/>
        <v>2-SOLOMON'S FRESH MARKET - BAHAMA'S</v>
      </c>
      <c r="C113" t="s">
        <v>257</v>
      </c>
      <c r="D113" t="s">
        <v>52</v>
      </c>
      <c r="E113" t="s">
        <v>259</v>
      </c>
      <c r="F113">
        <v>0</v>
      </c>
    </row>
    <row r="114" spans="1:6" x14ac:dyDescent="0.3">
      <c r="A114">
        <f t="shared" si="5"/>
        <v>3</v>
      </c>
      <c r="B114" t="str">
        <f t="shared" si="3"/>
        <v>3-SOLOMON'S FRESH MARKET - BAHAMA'S</v>
      </c>
      <c r="C114" t="s">
        <v>257</v>
      </c>
      <c r="D114" t="s">
        <v>52</v>
      </c>
      <c r="E114" t="s">
        <v>260</v>
      </c>
      <c r="F114">
        <v>0</v>
      </c>
    </row>
    <row r="115" spans="1:6" x14ac:dyDescent="0.3">
      <c r="A115">
        <f>IF(C115=C114,A114+1,1)</f>
        <v>1</v>
      </c>
      <c r="B115" t="str">
        <f>A115&amp;"-"&amp;C115</f>
        <v>1-SPARTAN STORES INC.</v>
      </c>
      <c r="C115" t="s">
        <v>261</v>
      </c>
      <c r="D115" t="s">
        <v>82</v>
      </c>
      <c r="E115" t="s">
        <v>262</v>
      </c>
      <c r="F115" s="298">
        <v>0.62</v>
      </c>
    </row>
    <row r="116" spans="1:6" x14ac:dyDescent="0.3">
      <c r="A116">
        <f>IF(C116=C114,A114+1,1)</f>
        <v>1</v>
      </c>
      <c r="B116" t="str">
        <f t="shared" si="3"/>
        <v>1-SPROUTS FARMERS MARKET</v>
      </c>
      <c r="C116" t="s">
        <v>263</v>
      </c>
      <c r="D116" t="s">
        <v>75</v>
      </c>
      <c r="E116" t="s">
        <v>264</v>
      </c>
      <c r="F116">
        <v>1.2</v>
      </c>
    </row>
    <row r="117" spans="1:6" x14ac:dyDescent="0.3">
      <c r="A117">
        <f t="shared" si="5"/>
        <v>2</v>
      </c>
      <c r="B117" t="str">
        <f t="shared" si="3"/>
        <v>2-SPROUTS FARMERS MARKET</v>
      </c>
      <c r="C117" t="s">
        <v>263</v>
      </c>
      <c r="D117" t="s">
        <v>75</v>
      </c>
      <c r="E117" t="s">
        <v>75</v>
      </c>
      <c r="F117">
        <v>0.81</v>
      </c>
    </row>
    <row r="118" spans="1:6" x14ac:dyDescent="0.3">
      <c r="A118">
        <f t="shared" si="5"/>
        <v>3</v>
      </c>
      <c r="B118" t="str">
        <f t="shared" si="3"/>
        <v>3-SPROUTS FARMERS MARKET</v>
      </c>
      <c r="C118" t="s">
        <v>263</v>
      </c>
      <c r="D118" t="s">
        <v>75</v>
      </c>
      <c r="E118" t="s">
        <v>93</v>
      </c>
      <c r="F118">
        <v>1.85</v>
      </c>
    </row>
    <row r="119" spans="1:6" x14ac:dyDescent="0.3">
      <c r="A119">
        <f t="shared" si="5"/>
        <v>1</v>
      </c>
      <c r="B119" t="str">
        <f t="shared" si="3"/>
        <v>1-STRUBE CELERY AND VEGETABLE COMPANY</v>
      </c>
      <c r="C119" t="s">
        <v>265</v>
      </c>
      <c r="D119" t="s">
        <v>82</v>
      </c>
      <c r="E119" t="s">
        <v>265</v>
      </c>
      <c r="F119">
        <v>0.31</v>
      </c>
    </row>
    <row r="120" spans="1:6" x14ac:dyDescent="0.3">
      <c r="A120">
        <f t="shared" si="5"/>
        <v>2</v>
      </c>
      <c r="B120" t="str">
        <f t="shared" si="3"/>
        <v>2-STRUBE CELERY AND VEGETABLE COMPANY</v>
      </c>
      <c r="C120" t="s">
        <v>265</v>
      </c>
      <c r="D120" t="s">
        <v>82</v>
      </c>
      <c r="E120" t="s">
        <v>266</v>
      </c>
      <c r="F120">
        <v>0.31</v>
      </c>
    </row>
    <row r="121" spans="1:6" x14ac:dyDescent="0.3">
      <c r="A121">
        <f t="shared" si="5"/>
        <v>3</v>
      </c>
      <c r="B121" t="str">
        <f t="shared" si="3"/>
        <v>3-STRUBE CELERY AND VEGETABLE COMPANY</v>
      </c>
      <c r="C121" t="s">
        <v>265</v>
      </c>
      <c r="D121" t="s">
        <v>82</v>
      </c>
      <c r="E121" t="s">
        <v>267</v>
      </c>
      <c r="F121">
        <v>0.31</v>
      </c>
    </row>
    <row r="122" spans="1:6" x14ac:dyDescent="0.3">
      <c r="A122">
        <f t="shared" si="5"/>
        <v>4</v>
      </c>
      <c r="B122" t="str">
        <f t="shared" si="3"/>
        <v>4-STRUBE CELERY AND VEGETABLE COMPANY</v>
      </c>
      <c r="C122" t="s">
        <v>265</v>
      </c>
      <c r="D122" t="s">
        <v>82</v>
      </c>
      <c r="E122" t="s">
        <v>268</v>
      </c>
      <c r="F122">
        <v>0.31</v>
      </c>
    </row>
    <row r="123" spans="1:6" x14ac:dyDescent="0.3">
      <c r="A123">
        <f t="shared" si="5"/>
        <v>5</v>
      </c>
      <c r="B123" t="str">
        <f t="shared" si="3"/>
        <v>5-STRUBE CELERY AND VEGETABLE COMPANY</v>
      </c>
      <c r="C123" t="s">
        <v>265</v>
      </c>
      <c r="D123" t="s">
        <v>82</v>
      </c>
      <c r="E123" t="s">
        <v>269</v>
      </c>
      <c r="F123">
        <v>0.31</v>
      </c>
    </row>
    <row r="124" spans="1:6" x14ac:dyDescent="0.3">
      <c r="A124">
        <f t="shared" si="5"/>
        <v>6</v>
      </c>
      <c r="B124" t="str">
        <f t="shared" si="3"/>
        <v>6-STRUBE CELERY AND VEGETABLE COMPANY</v>
      </c>
      <c r="C124" t="s">
        <v>265</v>
      </c>
      <c r="D124" t="s">
        <v>82</v>
      </c>
      <c r="E124" t="s">
        <v>270</v>
      </c>
      <c r="F124">
        <v>0.31</v>
      </c>
    </row>
    <row r="125" spans="1:6" x14ac:dyDescent="0.3">
      <c r="A125">
        <f t="shared" si="5"/>
        <v>7</v>
      </c>
      <c r="B125" t="str">
        <f t="shared" si="3"/>
        <v>7-STRUBE CELERY AND VEGETABLE COMPANY</v>
      </c>
      <c r="C125" t="s">
        <v>265</v>
      </c>
      <c r="D125" t="s">
        <v>82</v>
      </c>
      <c r="E125" t="s">
        <v>271</v>
      </c>
      <c r="F125">
        <v>0.31</v>
      </c>
    </row>
    <row r="126" spans="1:6" x14ac:dyDescent="0.3">
      <c r="A126">
        <f t="shared" si="5"/>
        <v>8</v>
      </c>
      <c r="B126" t="str">
        <f t="shared" si="3"/>
        <v>8-STRUBE CELERY AND VEGETABLE COMPANY</v>
      </c>
      <c r="C126" t="s">
        <v>265</v>
      </c>
      <c r="D126" t="s">
        <v>82</v>
      </c>
      <c r="E126" t="s">
        <v>272</v>
      </c>
      <c r="F126">
        <v>0.31</v>
      </c>
    </row>
    <row r="127" spans="1:6" x14ac:dyDescent="0.3">
      <c r="A127">
        <f t="shared" si="5"/>
        <v>1</v>
      </c>
      <c r="B127" t="str">
        <f t="shared" si="3"/>
        <v>1-SUPERVALU</v>
      </c>
      <c r="C127" t="s">
        <v>273</v>
      </c>
      <c r="D127" t="s">
        <v>52</v>
      </c>
      <c r="E127" t="s">
        <v>273</v>
      </c>
      <c r="F127">
        <v>2.35</v>
      </c>
    </row>
    <row r="128" spans="1:6" x14ac:dyDescent="0.3">
      <c r="A128">
        <f t="shared" si="5"/>
        <v>2</v>
      </c>
      <c r="B128" t="str">
        <f t="shared" si="3"/>
        <v>2-SUPERVALU</v>
      </c>
      <c r="C128" t="s">
        <v>273</v>
      </c>
      <c r="D128" t="s">
        <v>52</v>
      </c>
      <c r="E128" t="s">
        <v>274</v>
      </c>
      <c r="F128">
        <v>0.31</v>
      </c>
    </row>
    <row r="129" spans="1:6" x14ac:dyDescent="0.3">
      <c r="A129">
        <f t="shared" si="5"/>
        <v>3</v>
      </c>
      <c r="B129" t="str">
        <f t="shared" si="3"/>
        <v>3-SUPERVALU</v>
      </c>
      <c r="C129" t="s">
        <v>273</v>
      </c>
      <c r="D129" t="s">
        <v>52</v>
      </c>
      <c r="E129" t="s">
        <v>275</v>
      </c>
      <c r="F129">
        <v>0.31</v>
      </c>
    </row>
    <row r="130" spans="1:6" x14ac:dyDescent="0.3">
      <c r="A130">
        <f t="shared" si="5"/>
        <v>1</v>
      </c>
      <c r="B130" t="str">
        <f t="shared" si="3"/>
        <v>1-SUPERVALU SAVE A LOT</v>
      </c>
      <c r="C130" t="s">
        <v>276</v>
      </c>
      <c r="D130" t="s">
        <v>82</v>
      </c>
      <c r="E130" t="s">
        <v>277</v>
      </c>
      <c r="F130">
        <v>2.33</v>
      </c>
    </row>
    <row r="131" spans="1:6" x14ac:dyDescent="0.3">
      <c r="A131">
        <f t="shared" si="5"/>
        <v>2</v>
      </c>
      <c r="B131" t="str">
        <f t="shared" si="3"/>
        <v>2-SUPERVALU SAVE A LOT</v>
      </c>
      <c r="C131" t="s">
        <v>276</v>
      </c>
      <c r="D131" t="s">
        <v>82</v>
      </c>
      <c r="E131" t="s">
        <v>278</v>
      </c>
      <c r="F131">
        <v>2.33</v>
      </c>
    </row>
    <row r="132" spans="1:6" x14ac:dyDescent="0.3">
      <c r="A132">
        <f t="shared" si="5"/>
        <v>3</v>
      </c>
      <c r="B132" t="str">
        <f t="shared" si="3"/>
        <v>3-SUPERVALU SAVE A LOT</v>
      </c>
      <c r="C132" t="s">
        <v>276</v>
      </c>
      <c r="D132" t="s">
        <v>82</v>
      </c>
      <c r="E132" t="s">
        <v>279</v>
      </c>
      <c r="F132">
        <v>2.33</v>
      </c>
    </row>
    <row r="133" spans="1:6" x14ac:dyDescent="0.3">
      <c r="A133">
        <f t="shared" si="5"/>
        <v>4</v>
      </c>
      <c r="B133" t="str">
        <f t="shared" si="3"/>
        <v>4-SUPERVALU SAVE A LOT</v>
      </c>
      <c r="C133" t="s">
        <v>276</v>
      </c>
      <c r="D133" t="s">
        <v>52</v>
      </c>
      <c r="E133" t="s">
        <v>280</v>
      </c>
      <c r="F133">
        <v>2.33</v>
      </c>
    </row>
    <row r="134" spans="1:6" x14ac:dyDescent="0.3">
      <c r="A134">
        <f t="shared" si="5"/>
        <v>5</v>
      </c>
      <c r="B134" t="str">
        <f t="shared" ref="B134:B197" si="6">A134&amp;"-"&amp;C134</f>
        <v>5-SUPERVALU SAVE A LOT</v>
      </c>
      <c r="C134" t="s">
        <v>276</v>
      </c>
      <c r="D134" t="s">
        <v>52</v>
      </c>
      <c r="E134" t="s">
        <v>281</v>
      </c>
      <c r="F134">
        <v>2.33</v>
      </c>
    </row>
    <row r="135" spans="1:6" x14ac:dyDescent="0.3">
      <c r="A135">
        <f t="shared" si="5"/>
        <v>6</v>
      </c>
      <c r="B135" t="str">
        <f t="shared" si="6"/>
        <v>6-SUPERVALU SAVE A LOT</v>
      </c>
      <c r="C135" t="s">
        <v>276</v>
      </c>
      <c r="D135" t="s">
        <v>52</v>
      </c>
      <c r="E135" t="s">
        <v>282</v>
      </c>
      <c r="F135">
        <v>2.33</v>
      </c>
    </row>
    <row r="136" spans="1:6" x14ac:dyDescent="0.3">
      <c r="A136">
        <f t="shared" si="5"/>
        <v>7</v>
      </c>
      <c r="B136" t="str">
        <f t="shared" si="6"/>
        <v>7-SUPERVALU SAVE A LOT</v>
      </c>
      <c r="C136" t="s">
        <v>276</v>
      </c>
      <c r="D136" t="s">
        <v>52</v>
      </c>
      <c r="E136" t="s">
        <v>283</v>
      </c>
      <c r="F136">
        <v>2.33</v>
      </c>
    </row>
    <row r="137" spans="1:6" x14ac:dyDescent="0.3">
      <c r="A137">
        <f t="shared" si="5"/>
        <v>8</v>
      </c>
      <c r="B137" t="str">
        <f t="shared" si="6"/>
        <v>8-SUPERVALU SAVE A LOT</v>
      </c>
      <c r="C137" t="s">
        <v>276</v>
      </c>
      <c r="D137" t="s">
        <v>52</v>
      </c>
      <c r="E137" t="s">
        <v>284</v>
      </c>
      <c r="F137">
        <v>2.33</v>
      </c>
    </row>
    <row r="138" spans="1:6" x14ac:dyDescent="0.3">
      <c r="A138">
        <f t="shared" si="5"/>
        <v>9</v>
      </c>
      <c r="B138" t="str">
        <f t="shared" si="6"/>
        <v>9-SUPERVALU SAVE A LOT</v>
      </c>
      <c r="C138" t="s">
        <v>276</v>
      </c>
      <c r="D138" t="s">
        <v>52</v>
      </c>
      <c r="E138" t="s">
        <v>285</v>
      </c>
      <c r="F138">
        <v>2.33</v>
      </c>
    </row>
    <row r="139" spans="1:6" x14ac:dyDescent="0.3">
      <c r="A139">
        <f t="shared" si="5"/>
        <v>10</v>
      </c>
      <c r="B139" t="str">
        <f t="shared" si="6"/>
        <v>10-SUPERVALU SAVE A LOT</v>
      </c>
      <c r="C139" t="s">
        <v>276</v>
      </c>
      <c r="D139" t="s">
        <v>52</v>
      </c>
      <c r="E139" t="s">
        <v>286</v>
      </c>
      <c r="F139">
        <v>2.33</v>
      </c>
    </row>
    <row r="140" spans="1:6" x14ac:dyDescent="0.3">
      <c r="A140">
        <f t="shared" si="5"/>
        <v>11</v>
      </c>
      <c r="B140" t="str">
        <f t="shared" si="6"/>
        <v>11-SUPERVALU SAVE A LOT</v>
      </c>
      <c r="C140" t="s">
        <v>276</v>
      </c>
      <c r="D140" t="s">
        <v>52</v>
      </c>
      <c r="E140" t="s">
        <v>287</v>
      </c>
      <c r="F140">
        <v>2.33</v>
      </c>
    </row>
    <row r="141" spans="1:6" x14ac:dyDescent="0.3">
      <c r="A141">
        <f t="shared" si="5"/>
        <v>12</v>
      </c>
      <c r="B141" t="str">
        <f t="shared" si="6"/>
        <v>12-SUPERVALU SAVE A LOT</v>
      </c>
      <c r="C141" t="s">
        <v>276</v>
      </c>
      <c r="D141" t="s">
        <v>52</v>
      </c>
      <c r="E141" t="s">
        <v>276</v>
      </c>
      <c r="F141">
        <v>2.33</v>
      </c>
    </row>
    <row r="142" spans="1:6" x14ac:dyDescent="0.3">
      <c r="A142">
        <f t="shared" si="5"/>
        <v>13</v>
      </c>
      <c r="B142" t="str">
        <f t="shared" si="6"/>
        <v>13-SUPERVALU SAVE A LOT</v>
      </c>
      <c r="C142" t="s">
        <v>276</v>
      </c>
      <c r="D142" t="s">
        <v>52</v>
      </c>
      <c r="E142" t="s">
        <v>288</v>
      </c>
      <c r="F142">
        <v>2.33</v>
      </c>
    </row>
    <row r="143" spans="1:6" x14ac:dyDescent="0.3">
      <c r="A143">
        <f t="shared" si="5"/>
        <v>14</v>
      </c>
      <c r="B143" t="str">
        <f t="shared" si="6"/>
        <v>14-SUPERVALU SAVE A LOT</v>
      </c>
      <c r="C143" t="s">
        <v>276</v>
      </c>
      <c r="D143" t="s">
        <v>52</v>
      </c>
      <c r="E143" t="s">
        <v>289</v>
      </c>
      <c r="F143">
        <v>2.33</v>
      </c>
    </row>
    <row r="144" spans="1:6" x14ac:dyDescent="0.3">
      <c r="A144">
        <f t="shared" si="5"/>
        <v>15</v>
      </c>
      <c r="B144" t="str">
        <f t="shared" si="6"/>
        <v>15-SUPERVALU SAVE A LOT</v>
      </c>
      <c r="C144" t="s">
        <v>276</v>
      </c>
      <c r="D144" t="s">
        <v>66</v>
      </c>
      <c r="E144" t="s">
        <v>290</v>
      </c>
      <c r="F144">
        <v>2.33</v>
      </c>
    </row>
    <row r="145" spans="1:6" x14ac:dyDescent="0.3">
      <c r="A145">
        <f t="shared" si="5"/>
        <v>16</v>
      </c>
      <c r="B145" t="str">
        <f t="shared" si="6"/>
        <v>16-SUPERVALU SAVE A LOT</v>
      </c>
      <c r="C145" t="s">
        <v>276</v>
      </c>
      <c r="D145" t="s">
        <v>66</v>
      </c>
      <c r="E145" t="s">
        <v>291</v>
      </c>
      <c r="F145">
        <v>2.33</v>
      </c>
    </row>
    <row r="146" spans="1:6" x14ac:dyDescent="0.3">
      <c r="A146">
        <f t="shared" si="5"/>
        <v>17</v>
      </c>
      <c r="B146" t="str">
        <f t="shared" si="6"/>
        <v>17-SUPERVALU SAVE A LOT</v>
      </c>
      <c r="C146" t="s">
        <v>276</v>
      </c>
      <c r="D146" t="s">
        <v>66</v>
      </c>
      <c r="E146" t="s">
        <v>292</v>
      </c>
      <c r="F146">
        <v>2.33</v>
      </c>
    </row>
    <row r="147" spans="1:6" x14ac:dyDescent="0.3">
      <c r="A147">
        <f t="shared" si="5"/>
        <v>1</v>
      </c>
      <c r="B147" t="str">
        <f t="shared" si="6"/>
        <v>1-THE FRESH MARKET</v>
      </c>
      <c r="C147" t="s">
        <v>293</v>
      </c>
      <c r="D147" t="s">
        <v>52</v>
      </c>
      <c r="E147" t="s">
        <v>294</v>
      </c>
      <c r="F147">
        <v>0</v>
      </c>
    </row>
    <row r="148" spans="1:6" x14ac:dyDescent="0.3">
      <c r="A148">
        <f t="shared" si="5"/>
        <v>2</v>
      </c>
      <c r="B148" t="str">
        <f t="shared" si="6"/>
        <v>2-THE FRESH MARKET</v>
      </c>
      <c r="C148" t="s">
        <v>293</v>
      </c>
      <c r="D148" t="s">
        <v>52</v>
      </c>
      <c r="E148" t="s">
        <v>295</v>
      </c>
      <c r="F148">
        <v>0</v>
      </c>
    </row>
    <row r="149" spans="1:6" x14ac:dyDescent="0.3">
      <c r="A149">
        <f t="shared" si="5"/>
        <v>1</v>
      </c>
      <c r="B149" t="str">
        <f t="shared" si="6"/>
        <v>1-TOPCO ASSOCIATES LLC</v>
      </c>
      <c r="C149" t="s">
        <v>296</v>
      </c>
      <c r="D149" t="s">
        <v>52</v>
      </c>
      <c r="E149" t="s">
        <v>297</v>
      </c>
      <c r="F149">
        <v>0</v>
      </c>
    </row>
    <row r="150" spans="1:6" x14ac:dyDescent="0.3">
      <c r="A150">
        <f t="shared" si="5"/>
        <v>2</v>
      </c>
      <c r="B150" t="str">
        <f t="shared" si="6"/>
        <v>2-TOPCO ASSOCIATES LLC</v>
      </c>
      <c r="C150" t="s">
        <v>296</v>
      </c>
      <c r="D150" t="s">
        <v>52</v>
      </c>
      <c r="E150" t="s">
        <v>298</v>
      </c>
      <c r="F150">
        <v>0</v>
      </c>
    </row>
    <row r="151" spans="1:6" x14ac:dyDescent="0.3">
      <c r="A151">
        <f t="shared" si="5"/>
        <v>3</v>
      </c>
      <c r="B151" t="str">
        <f t="shared" si="6"/>
        <v>3-TOPCO ASSOCIATES LLC</v>
      </c>
      <c r="C151" t="s">
        <v>296</v>
      </c>
      <c r="D151" t="s">
        <v>52</v>
      </c>
      <c r="E151" t="s">
        <v>299</v>
      </c>
      <c r="F151">
        <v>0</v>
      </c>
    </row>
    <row r="152" spans="1:6" x14ac:dyDescent="0.3">
      <c r="A152">
        <f t="shared" si="5"/>
        <v>4</v>
      </c>
      <c r="B152" t="str">
        <f t="shared" si="6"/>
        <v>4-TOPCO ASSOCIATES LLC</v>
      </c>
      <c r="C152" t="s">
        <v>296</v>
      </c>
      <c r="D152" t="s">
        <v>52</v>
      </c>
      <c r="E152" t="s">
        <v>300</v>
      </c>
      <c r="F152">
        <v>0</v>
      </c>
    </row>
    <row r="153" spans="1:6" x14ac:dyDescent="0.3">
      <c r="A153">
        <f t="shared" si="5"/>
        <v>5</v>
      </c>
      <c r="B153" t="str">
        <f t="shared" si="6"/>
        <v>5-TOPCO ASSOCIATES LLC</v>
      </c>
      <c r="C153" t="s">
        <v>296</v>
      </c>
      <c r="D153" t="s">
        <v>52</v>
      </c>
      <c r="E153" t="s">
        <v>301</v>
      </c>
      <c r="F153">
        <v>0</v>
      </c>
    </row>
    <row r="154" spans="1:6" x14ac:dyDescent="0.3">
      <c r="A154">
        <f t="shared" si="5"/>
        <v>6</v>
      </c>
      <c r="B154" t="str">
        <f t="shared" si="6"/>
        <v>6-TOPCO ASSOCIATES LLC</v>
      </c>
      <c r="C154" t="s">
        <v>296</v>
      </c>
      <c r="D154" t="s">
        <v>52</v>
      </c>
      <c r="E154" t="s">
        <v>302</v>
      </c>
      <c r="F154">
        <v>0</v>
      </c>
    </row>
    <row r="155" spans="1:6" x14ac:dyDescent="0.3">
      <c r="A155">
        <f t="shared" si="5"/>
        <v>7</v>
      </c>
      <c r="B155" t="str">
        <f t="shared" si="6"/>
        <v>7-TOPCO ASSOCIATES LLC</v>
      </c>
      <c r="C155" t="s">
        <v>296</v>
      </c>
      <c r="D155" t="s">
        <v>52</v>
      </c>
      <c r="E155" t="s">
        <v>303</v>
      </c>
      <c r="F155">
        <v>0</v>
      </c>
    </row>
    <row r="156" spans="1:6" x14ac:dyDescent="0.3">
      <c r="A156">
        <f t="shared" si="5"/>
        <v>8</v>
      </c>
      <c r="B156" t="str">
        <f t="shared" si="6"/>
        <v>8-TOPCO ASSOCIATES LLC</v>
      </c>
      <c r="C156" t="s">
        <v>296</v>
      </c>
      <c r="D156" t="s">
        <v>52</v>
      </c>
      <c r="E156" t="s">
        <v>304</v>
      </c>
      <c r="F156">
        <v>0</v>
      </c>
    </row>
    <row r="157" spans="1:6" x14ac:dyDescent="0.3">
      <c r="A157">
        <f t="shared" si="5"/>
        <v>9</v>
      </c>
      <c r="B157" t="str">
        <f t="shared" si="6"/>
        <v>9-TOPCO ASSOCIATES LLC</v>
      </c>
      <c r="C157" t="s">
        <v>296</v>
      </c>
      <c r="D157" t="s">
        <v>52</v>
      </c>
      <c r="E157" t="s">
        <v>305</v>
      </c>
      <c r="F157">
        <v>0</v>
      </c>
    </row>
    <row r="158" spans="1:6" x14ac:dyDescent="0.3">
      <c r="A158">
        <f t="shared" si="5"/>
        <v>10</v>
      </c>
      <c r="B158" t="str">
        <f t="shared" si="6"/>
        <v>10-TOPCO ASSOCIATES LLC</v>
      </c>
      <c r="C158" t="s">
        <v>296</v>
      </c>
      <c r="D158" t="s">
        <v>52</v>
      </c>
      <c r="E158" t="s">
        <v>306</v>
      </c>
      <c r="F158">
        <v>0</v>
      </c>
    </row>
    <row r="159" spans="1:6" x14ac:dyDescent="0.3">
      <c r="A159">
        <f t="shared" si="5"/>
        <v>11</v>
      </c>
      <c r="B159" t="str">
        <f t="shared" si="6"/>
        <v>11-TOPCO ASSOCIATES LLC</v>
      </c>
      <c r="C159" t="s">
        <v>296</v>
      </c>
      <c r="D159" t="s">
        <v>52</v>
      </c>
      <c r="E159" t="s">
        <v>307</v>
      </c>
      <c r="F159">
        <v>0</v>
      </c>
    </row>
    <row r="160" spans="1:6" x14ac:dyDescent="0.3">
      <c r="A160">
        <f t="shared" si="5"/>
        <v>12</v>
      </c>
      <c r="B160" t="str">
        <f t="shared" si="6"/>
        <v>12-TOPCO ASSOCIATES LLC</v>
      </c>
      <c r="C160" t="s">
        <v>296</v>
      </c>
      <c r="D160" t="s">
        <v>52</v>
      </c>
      <c r="E160" t="s">
        <v>308</v>
      </c>
      <c r="F160">
        <v>0</v>
      </c>
    </row>
    <row r="161" spans="1:6" x14ac:dyDescent="0.3">
      <c r="A161">
        <f t="shared" si="5"/>
        <v>13</v>
      </c>
      <c r="B161" t="str">
        <f t="shared" si="6"/>
        <v>13-TOPCO ASSOCIATES LLC</v>
      </c>
      <c r="C161" t="s">
        <v>296</v>
      </c>
      <c r="D161" t="s">
        <v>52</v>
      </c>
      <c r="E161" t="s">
        <v>309</v>
      </c>
      <c r="F161">
        <v>0</v>
      </c>
    </row>
    <row r="162" spans="1:6" x14ac:dyDescent="0.3">
      <c r="A162">
        <f t="shared" si="5"/>
        <v>14</v>
      </c>
      <c r="B162" t="str">
        <f t="shared" si="6"/>
        <v>14-TOPCO ASSOCIATES LLC</v>
      </c>
      <c r="C162" t="s">
        <v>296</v>
      </c>
      <c r="D162" t="s">
        <v>52</v>
      </c>
      <c r="E162" t="s">
        <v>310</v>
      </c>
      <c r="F162">
        <v>0</v>
      </c>
    </row>
    <row r="163" spans="1:6" x14ac:dyDescent="0.3">
      <c r="A163">
        <f t="shared" si="5"/>
        <v>15</v>
      </c>
      <c r="B163" t="str">
        <f t="shared" si="6"/>
        <v>15-TOPCO ASSOCIATES LLC</v>
      </c>
      <c r="C163" t="s">
        <v>296</v>
      </c>
      <c r="D163" t="s">
        <v>52</v>
      </c>
      <c r="E163" t="s">
        <v>311</v>
      </c>
      <c r="F163">
        <v>0</v>
      </c>
    </row>
    <row r="164" spans="1:6" x14ac:dyDescent="0.3">
      <c r="A164">
        <f t="shared" si="5"/>
        <v>16</v>
      </c>
      <c r="B164" t="str">
        <f t="shared" si="6"/>
        <v>16-TOPCO ASSOCIATES LLC</v>
      </c>
      <c r="C164" t="s">
        <v>296</v>
      </c>
      <c r="D164" t="s">
        <v>52</v>
      </c>
      <c r="E164" t="s">
        <v>312</v>
      </c>
      <c r="F164">
        <v>0</v>
      </c>
    </row>
    <row r="165" spans="1:6" x14ac:dyDescent="0.3">
      <c r="A165">
        <f t="shared" ref="A165:A197" si="7">IF(C165=C164,A164+1,1)</f>
        <v>17</v>
      </c>
      <c r="B165" t="str">
        <f t="shared" si="6"/>
        <v>17-TOPCO ASSOCIATES LLC</v>
      </c>
      <c r="C165" t="s">
        <v>296</v>
      </c>
      <c r="D165" t="s">
        <v>52</v>
      </c>
      <c r="E165" t="s">
        <v>313</v>
      </c>
      <c r="F165">
        <v>0</v>
      </c>
    </row>
    <row r="166" spans="1:6" x14ac:dyDescent="0.3">
      <c r="A166">
        <f t="shared" si="7"/>
        <v>18</v>
      </c>
      <c r="B166" t="str">
        <f t="shared" si="6"/>
        <v>18-TOPCO ASSOCIATES LLC</v>
      </c>
      <c r="C166" t="s">
        <v>296</v>
      </c>
      <c r="D166" t="s">
        <v>52</v>
      </c>
      <c r="E166" t="s">
        <v>314</v>
      </c>
      <c r="F166">
        <v>0</v>
      </c>
    </row>
    <row r="167" spans="1:6" x14ac:dyDescent="0.3">
      <c r="A167">
        <f t="shared" si="7"/>
        <v>19</v>
      </c>
      <c r="B167" t="str">
        <f t="shared" si="6"/>
        <v>19-TOPCO ASSOCIATES LLC</v>
      </c>
      <c r="C167" t="s">
        <v>296</v>
      </c>
      <c r="D167" t="s">
        <v>52</v>
      </c>
      <c r="E167" t="s">
        <v>315</v>
      </c>
      <c r="F167">
        <v>0</v>
      </c>
    </row>
    <row r="168" spans="1:6" x14ac:dyDescent="0.3">
      <c r="A168">
        <f t="shared" si="7"/>
        <v>20</v>
      </c>
      <c r="B168" t="str">
        <f t="shared" si="6"/>
        <v>20-TOPCO ASSOCIATES LLC</v>
      </c>
      <c r="C168" t="s">
        <v>296</v>
      </c>
      <c r="D168" t="s">
        <v>52</v>
      </c>
      <c r="E168" t="s">
        <v>316</v>
      </c>
      <c r="F168">
        <v>0</v>
      </c>
    </row>
    <row r="169" spans="1:6" x14ac:dyDescent="0.3">
      <c r="A169">
        <f t="shared" si="7"/>
        <v>1</v>
      </c>
      <c r="B169" t="str">
        <f t="shared" si="6"/>
        <v>1-TRADER JOE´S</v>
      </c>
      <c r="C169" t="s">
        <v>317</v>
      </c>
      <c r="D169" t="s">
        <v>75</v>
      </c>
      <c r="E169" t="s">
        <v>318</v>
      </c>
      <c r="F169">
        <v>0.28999999999999998</v>
      </c>
    </row>
    <row r="170" spans="1:6" x14ac:dyDescent="0.3">
      <c r="A170">
        <f t="shared" si="7"/>
        <v>2</v>
      </c>
      <c r="B170" t="str">
        <f t="shared" si="6"/>
        <v>2-TRADER JOE´S</v>
      </c>
      <c r="C170" t="s">
        <v>317</v>
      </c>
      <c r="D170" t="s">
        <v>75</v>
      </c>
      <c r="E170" t="s">
        <v>319</v>
      </c>
      <c r="F170">
        <v>0.61</v>
      </c>
    </row>
    <row r="171" spans="1:6" x14ac:dyDescent="0.3">
      <c r="A171">
        <f t="shared" si="7"/>
        <v>3</v>
      </c>
      <c r="B171" t="str">
        <f t="shared" si="6"/>
        <v>3-TRADER JOE´S</v>
      </c>
      <c r="C171" t="s">
        <v>317</v>
      </c>
      <c r="D171" t="s">
        <v>75</v>
      </c>
      <c r="E171" t="s">
        <v>320</v>
      </c>
      <c r="F171">
        <v>1.5</v>
      </c>
    </row>
    <row r="172" spans="1:6" x14ac:dyDescent="0.3">
      <c r="A172">
        <f t="shared" si="7"/>
        <v>4</v>
      </c>
      <c r="B172" t="str">
        <f t="shared" si="6"/>
        <v>4-TRADER JOE´S</v>
      </c>
      <c r="C172" t="s">
        <v>317</v>
      </c>
      <c r="D172" t="s">
        <v>75</v>
      </c>
      <c r="E172" t="s">
        <v>321</v>
      </c>
      <c r="F172">
        <v>1.5</v>
      </c>
    </row>
    <row r="173" spans="1:6" x14ac:dyDescent="0.3">
      <c r="A173">
        <f t="shared" si="7"/>
        <v>5</v>
      </c>
      <c r="B173" t="str">
        <f t="shared" si="6"/>
        <v>5-TRADER JOE´S</v>
      </c>
      <c r="C173" t="s">
        <v>317</v>
      </c>
      <c r="D173" t="s">
        <v>82</v>
      </c>
      <c r="E173" t="s">
        <v>322</v>
      </c>
      <c r="F173">
        <v>0.3</v>
      </c>
    </row>
    <row r="174" spans="1:6" x14ac:dyDescent="0.3">
      <c r="A174">
        <f t="shared" si="7"/>
        <v>6</v>
      </c>
      <c r="B174" t="str">
        <f t="shared" si="6"/>
        <v>6-TRADER JOE´S</v>
      </c>
      <c r="C174" t="s">
        <v>317</v>
      </c>
      <c r="D174" t="s">
        <v>93</v>
      </c>
      <c r="E174" t="s">
        <v>323</v>
      </c>
      <c r="F174" t="s">
        <v>119</v>
      </c>
    </row>
    <row r="175" spans="1:6" x14ac:dyDescent="0.3">
      <c r="A175">
        <f t="shared" si="7"/>
        <v>7</v>
      </c>
      <c r="B175" t="str">
        <f t="shared" si="6"/>
        <v>7-TRADER JOE´S</v>
      </c>
      <c r="C175" t="s">
        <v>317</v>
      </c>
      <c r="D175" t="s">
        <v>52</v>
      </c>
      <c r="E175" t="s">
        <v>324</v>
      </c>
      <c r="F175" t="s">
        <v>119</v>
      </c>
    </row>
    <row r="176" spans="1:6" x14ac:dyDescent="0.3">
      <c r="A176">
        <f t="shared" si="7"/>
        <v>8</v>
      </c>
      <c r="B176" t="str">
        <f t="shared" si="6"/>
        <v>8-TRADER JOE´S</v>
      </c>
      <c r="C176" t="s">
        <v>317</v>
      </c>
      <c r="D176" t="s">
        <v>66</v>
      </c>
      <c r="E176" t="s">
        <v>325</v>
      </c>
      <c r="F176" t="s">
        <v>119</v>
      </c>
    </row>
    <row r="177" spans="1:6" x14ac:dyDescent="0.3">
      <c r="A177">
        <f t="shared" si="7"/>
        <v>9</v>
      </c>
      <c r="B177" t="str">
        <f t="shared" si="6"/>
        <v>9-TRADER JOE´S</v>
      </c>
      <c r="C177" t="s">
        <v>317</v>
      </c>
      <c r="D177" t="s">
        <v>66</v>
      </c>
      <c r="E177" t="s">
        <v>326</v>
      </c>
      <c r="F177">
        <v>1.62</v>
      </c>
    </row>
    <row r="178" spans="1:6" x14ac:dyDescent="0.3">
      <c r="A178">
        <f t="shared" si="7"/>
        <v>1</v>
      </c>
      <c r="B178" t="str">
        <f t="shared" si="6"/>
        <v>1-UNITED SALAD CO.</v>
      </c>
      <c r="C178" t="s">
        <v>327</v>
      </c>
      <c r="D178" t="s">
        <v>75</v>
      </c>
      <c r="E178" t="s">
        <v>327</v>
      </c>
      <c r="F178">
        <v>3</v>
      </c>
    </row>
    <row r="179" spans="1:6" x14ac:dyDescent="0.3">
      <c r="A179">
        <f t="shared" si="7"/>
        <v>1</v>
      </c>
      <c r="B179" t="str">
        <f t="shared" si="6"/>
        <v>1-UNITED SUPERMARKETS LTD</v>
      </c>
      <c r="C179" t="s">
        <v>328</v>
      </c>
      <c r="D179" t="s">
        <v>52</v>
      </c>
      <c r="E179" t="s">
        <v>329</v>
      </c>
      <c r="F179">
        <v>3.4</v>
      </c>
    </row>
    <row r="180" spans="1:6" x14ac:dyDescent="0.3">
      <c r="A180">
        <f t="shared" si="7"/>
        <v>1</v>
      </c>
      <c r="B180" t="str">
        <f t="shared" si="6"/>
        <v>1-WAKEFERN FOOD CORPORATION</v>
      </c>
      <c r="C180" t="s">
        <v>330</v>
      </c>
      <c r="D180" t="s">
        <v>66</v>
      </c>
      <c r="E180" t="s">
        <v>330</v>
      </c>
      <c r="F180" t="s">
        <v>119</v>
      </c>
    </row>
    <row r="181" spans="1:6" x14ac:dyDescent="0.3">
      <c r="A181">
        <f t="shared" si="7"/>
        <v>1</v>
      </c>
      <c r="B181" t="str">
        <f t="shared" si="6"/>
        <v>1-WEIS MARKET INC.</v>
      </c>
      <c r="C181" t="s">
        <v>331</v>
      </c>
      <c r="D181" t="s">
        <v>66</v>
      </c>
      <c r="E181" t="s">
        <v>331</v>
      </c>
      <c r="F181" t="s">
        <v>119</v>
      </c>
    </row>
    <row r="182" spans="1:6" x14ac:dyDescent="0.3">
      <c r="A182">
        <f t="shared" si="7"/>
        <v>1</v>
      </c>
      <c r="B182" t="str">
        <f t="shared" si="6"/>
        <v>1-WHOLE FOODS MARKET</v>
      </c>
      <c r="C182" t="s">
        <v>332</v>
      </c>
      <c r="D182" t="s">
        <v>75</v>
      </c>
      <c r="E182" t="s">
        <v>88</v>
      </c>
      <c r="F182">
        <v>3.94</v>
      </c>
    </row>
    <row r="183" spans="1:6" x14ac:dyDescent="0.3">
      <c r="A183">
        <f t="shared" si="7"/>
        <v>2</v>
      </c>
      <c r="B183" t="str">
        <f t="shared" si="6"/>
        <v>2-WHOLE FOODS MARKET</v>
      </c>
      <c r="C183" t="s">
        <v>332</v>
      </c>
      <c r="D183" t="s">
        <v>75</v>
      </c>
      <c r="E183" t="s">
        <v>333</v>
      </c>
      <c r="F183">
        <v>1.41</v>
      </c>
    </row>
    <row r="184" spans="1:6" x14ac:dyDescent="0.3">
      <c r="A184">
        <f t="shared" si="7"/>
        <v>3</v>
      </c>
      <c r="B184" t="str">
        <f t="shared" si="6"/>
        <v>3-WHOLE FOODS MARKET</v>
      </c>
      <c r="C184" t="s">
        <v>332</v>
      </c>
      <c r="D184" t="s">
        <v>75</v>
      </c>
      <c r="E184" t="s">
        <v>334</v>
      </c>
      <c r="F184">
        <v>1.17</v>
      </c>
    </row>
    <row r="185" spans="1:6" x14ac:dyDescent="0.3">
      <c r="A185">
        <f t="shared" si="7"/>
        <v>4</v>
      </c>
      <c r="B185" t="str">
        <f t="shared" si="6"/>
        <v>4-WHOLE FOODS MARKET</v>
      </c>
      <c r="C185" t="s">
        <v>332</v>
      </c>
      <c r="D185" t="s">
        <v>82</v>
      </c>
      <c r="E185" t="s">
        <v>335</v>
      </c>
      <c r="F185">
        <v>0.31</v>
      </c>
    </row>
    <row r="186" spans="1:6" x14ac:dyDescent="0.3">
      <c r="A186">
        <f t="shared" si="7"/>
        <v>5</v>
      </c>
      <c r="B186" t="str">
        <f t="shared" si="6"/>
        <v>5-WHOLE FOODS MARKET</v>
      </c>
      <c r="C186" t="s">
        <v>332</v>
      </c>
      <c r="D186" t="s">
        <v>52</v>
      </c>
      <c r="E186" t="s">
        <v>336</v>
      </c>
      <c r="F186">
        <v>2.97</v>
      </c>
    </row>
    <row r="187" spans="1:6" x14ac:dyDescent="0.3">
      <c r="A187">
        <f t="shared" si="7"/>
        <v>6</v>
      </c>
      <c r="B187" t="str">
        <f t="shared" si="6"/>
        <v>6-WHOLE FOODS MARKET</v>
      </c>
      <c r="C187" t="s">
        <v>332</v>
      </c>
      <c r="D187" t="s">
        <v>52</v>
      </c>
      <c r="E187" t="s">
        <v>337</v>
      </c>
      <c r="F187">
        <v>0.25</v>
      </c>
    </row>
    <row r="188" spans="1:6" x14ac:dyDescent="0.3">
      <c r="A188">
        <f t="shared" si="7"/>
        <v>7</v>
      </c>
      <c r="B188" t="str">
        <f t="shared" si="6"/>
        <v>7-WHOLE FOODS MARKET</v>
      </c>
      <c r="C188" t="s">
        <v>332</v>
      </c>
      <c r="D188" t="s">
        <v>52</v>
      </c>
      <c r="E188" t="s">
        <v>338</v>
      </c>
      <c r="F188">
        <v>1.57</v>
      </c>
    </row>
    <row r="189" spans="1:6" x14ac:dyDescent="0.3">
      <c r="A189">
        <f t="shared" si="7"/>
        <v>8</v>
      </c>
      <c r="B189" t="str">
        <f t="shared" si="6"/>
        <v>8-WHOLE FOODS MARKET</v>
      </c>
      <c r="C189" t="s">
        <v>332</v>
      </c>
      <c r="D189" t="s">
        <v>52</v>
      </c>
      <c r="E189" t="s">
        <v>339</v>
      </c>
      <c r="F189">
        <v>1.7</v>
      </c>
    </row>
    <row r="190" spans="1:6" x14ac:dyDescent="0.3">
      <c r="A190">
        <f t="shared" si="7"/>
        <v>9</v>
      </c>
      <c r="B190" t="str">
        <f t="shared" si="6"/>
        <v>9-WHOLE FOODS MARKET</v>
      </c>
      <c r="C190" t="s">
        <v>332</v>
      </c>
      <c r="D190" t="s">
        <v>66</v>
      </c>
      <c r="E190" t="s">
        <v>340</v>
      </c>
      <c r="F190">
        <v>1.17</v>
      </c>
    </row>
    <row r="191" spans="1:6" x14ac:dyDescent="0.3">
      <c r="A191">
        <f>IF(C191=C190,A190+1,1)</f>
        <v>10</v>
      </c>
      <c r="B191" t="str">
        <f>A191&amp;"-"&amp;C191</f>
        <v>10-WHOLE FOODS MARKET</v>
      </c>
      <c r="C191" t="s">
        <v>332</v>
      </c>
      <c r="D191" t="s">
        <v>66</v>
      </c>
      <c r="E191" t="s">
        <v>341</v>
      </c>
      <c r="F191">
        <v>1.17</v>
      </c>
    </row>
    <row r="192" spans="1:6" x14ac:dyDescent="0.3">
      <c r="A192">
        <f>IF(C192=C191,A191+1,1)</f>
        <v>1</v>
      </c>
      <c r="B192" t="str">
        <f t="shared" si="6"/>
        <v>1-WINN DIXIE</v>
      </c>
      <c r="C192" t="s">
        <v>342</v>
      </c>
      <c r="D192" t="s">
        <v>52</v>
      </c>
      <c r="E192" t="s">
        <v>343</v>
      </c>
      <c r="F192">
        <v>0</v>
      </c>
    </row>
    <row r="193" spans="1:6" x14ac:dyDescent="0.3">
      <c r="A193">
        <f t="shared" si="7"/>
        <v>2</v>
      </c>
      <c r="B193" t="str">
        <f t="shared" si="6"/>
        <v>2-WINN DIXIE</v>
      </c>
      <c r="C193" t="s">
        <v>342</v>
      </c>
      <c r="D193" t="s">
        <v>52</v>
      </c>
      <c r="E193" t="s">
        <v>344</v>
      </c>
      <c r="F193">
        <v>0</v>
      </c>
    </row>
    <row r="194" spans="1:6" x14ac:dyDescent="0.3">
      <c r="A194">
        <f t="shared" si="7"/>
        <v>3</v>
      </c>
      <c r="B194" t="str">
        <f t="shared" si="6"/>
        <v>3-WINN DIXIE</v>
      </c>
      <c r="C194" t="s">
        <v>342</v>
      </c>
      <c r="D194" t="s">
        <v>52</v>
      </c>
      <c r="E194" t="s">
        <v>345</v>
      </c>
      <c r="F194">
        <v>0</v>
      </c>
    </row>
    <row r="195" spans="1:6" x14ac:dyDescent="0.3">
      <c r="A195">
        <f t="shared" si="7"/>
        <v>4</v>
      </c>
      <c r="B195" t="str">
        <f t="shared" si="6"/>
        <v>4-WINN DIXIE</v>
      </c>
      <c r="C195" t="s">
        <v>342</v>
      </c>
      <c r="D195" t="s">
        <v>52</v>
      </c>
      <c r="E195" t="s">
        <v>346</v>
      </c>
      <c r="F195">
        <v>0</v>
      </c>
    </row>
    <row r="196" spans="1:6" x14ac:dyDescent="0.3">
      <c r="A196">
        <f t="shared" si="7"/>
        <v>5</v>
      </c>
      <c r="B196" t="str">
        <f t="shared" si="6"/>
        <v>5-WINN DIXIE</v>
      </c>
      <c r="C196" t="s">
        <v>342</v>
      </c>
      <c r="D196" t="s">
        <v>52</v>
      </c>
      <c r="E196" t="s">
        <v>347</v>
      </c>
      <c r="F196">
        <v>0</v>
      </c>
    </row>
    <row r="197" spans="1:6" x14ac:dyDescent="0.3">
      <c r="A197">
        <f t="shared" si="7"/>
        <v>1</v>
      </c>
      <c r="B197" t="str">
        <f t="shared" si="6"/>
        <v>1-GROCERY OUTLET</v>
      </c>
      <c r="C197" t="s">
        <v>348</v>
      </c>
      <c r="D197" t="s">
        <v>75</v>
      </c>
      <c r="E197" t="s">
        <v>349</v>
      </c>
      <c r="F197">
        <v>1.9</v>
      </c>
    </row>
  </sheetData>
  <autoFilter ref="A1:F197" xr:uid="{00000000-0009-0000-0000-000003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45C-0FCA-41FC-B684-FBA25F958DCD}">
  <sheetPr codeName="Sheet17">
    <tabColor rgb="FF92D050"/>
  </sheetPr>
  <dimension ref="A2:AN121"/>
  <sheetViews>
    <sheetView showGridLines="0" showRowColHeaders="0" zoomScale="80" zoomScaleNormal="80" workbookViewId="0">
      <selection activeCell="J12" sqref="J12"/>
    </sheetView>
  </sheetViews>
  <sheetFormatPr defaultColWidth="8.6640625" defaultRowHeight="14.4" x14ac:dyDescent="0.3"/>
  <cols>
    <col min="1" max="1" width="5.109375" customWidth="1"/>
    <col min="2" max="2" width="6.44140625" customWidth="1"/>
    <col min="3" max="3" width="16.44140625" customWidth="1"/>
    <col min="4" max="6" width="5.44140625" customWidth="1"/>
    <col min="7" max="7" width="6.44140625" customWidth="1"/>
    <col min="8" max="8" width="33" bestFit="1" customWidth="1"/>
    <col min="9" max="9" width="10" customWidth="1"/>
    <col min="10" max="10" width="16" customWidth="1"/>
    <col min="11" max="11" width="9.44140625" customWidth="1"/>
    <col min="12" max="12" width="7.44140625" style="209" hidden="1" customWidth="1"/>
    <col min="13" max="14" width="5.6640625" style="209" hidden="1" customWidth="1"/>
    <col min="15" max="18" width="10.44140625" style="209" hidden="1" customWidth="1"/>
    <col min="19" max="22" width="9" style="209" hidden="1" customWidth="1"/>
    <col min="23" max="23" width="2.6640625" style="21" customWidth="1"/>
    <col min="24" max="24" width="29.44140625" bestFit="1" customWidth="1"/>
    <col min="25" max="25" width="14.44140625" customWidth="1"/>
    <col min="26" max="27" width="11" customWidth="1"/>
    <col min="28" max="28" width="2.44140625" customWidth="1"/>
    <col min="29" max="29" width="6.44140625" customWidth="1"/>
    <col min="30" max="30" width="22.44140625" customWidth="1"/>
    <col min="31" max="31" width="10" bestFit="1" customWidth="1"/>
    <col min="32" max="32" width="9.44140625" customWidth="1"/>
    <col min="33" max="33" width="3.44140625" customWidth="1"/>
    <col min="34" max="34" width="13.44140625" style="55" customWidth="1"/>
    <col min="35" max="35" width="23.44140625" style="1" customWidth="1"/>
    <col min="36" max="36" width="11.44140625" customWidth="1"/>
    <col min="37" max="38" width="10.6640625" customWidth="1"/>
    <col min="39" max="39" width="16" bestFit="1" customWidth="1"/>
  </cols>
  <sheetData>
    <row r="2" spans="1:40" ht="15" thickBot="1" x14ac:dyDescent="0.35"/>
    <row r="3" spans="1:40" ht="16.5" customHeight="1" x14ac:dyDescent="0.3">
      <c r="C3" s="505" t="s">
        <v>10</v>
      </c>
      <c r="D3" s="507" t="s">
        <v>350</v>
      </c>
      <c r="E3" s="508"/>
      <c r="F3" s="508"/>
      <c r="G3" s="509"/>
      <c r="X3" s="513" t="s">
        <v>11</v>
      </c>
      <c r="Y3" s="515">
        <f>IF(SUM(B:B)&lt;=10,"MUST BE &gt; 10",SUM(B:B))</f>
        <v>12</v>
      </c>
      <c r="AA3" s="523" t="s">
        <v>8</v>
      </c>
      <c r="AB3" s="524"/>
      <c r="AC3" s="524"/>
      <c r="AD3" s="572" t="e">
        <f>IF(SUM($B$11:$B$35)&lt;=10,"STEMS",AD5+(AD5*AG3)+(SUM($AD$8:$AD$9)*SUM($K$11:$K$35)))</f>
        <v>#N/A</v>
      </c>
      <c r="AE3" s="519" t="s">
        <v>9</v>
      </c>
      <c r="AF3" s="561"/>
      <c r="AG3" s="563">
        <v>0.1</v>
      </c>
      <c r="AH3" s="564"/>
      <c r="AJ3" s="567"/>
    </row>
    <row r="4" spans="1:40" ht="16.5" customHeight="1" thickBot="1" x14ac:dyDescent="0.35">
      <c r="C4" s="506"/>
      <c r="D4" s="510"/>
      <c r="E4" s="511"/>
      <c r="F4" s="511"/>
      <c r="G4" s="512"/>
      <c r="X4" s="514"/>
      <c r="Y4" s="516"/>
      <c r="AA4" s="525"/>
      <c r="AB4" s="526"/>
      <c r="AC4" s="526"/>
      <c r="AD4" s="573"/>
      <c r="AE4" s="521"/>
      <c r="AF4" s="562"/>
      <c r="AG4" s="565"/>
      <c r="AH4" s="566"/>
      <c r="AJ4" s="567"/>
    </row>
    <row r="5" spans="1:40" ht="16.5" customHeight="1" thickBot="1" x14ac:dyDescent="0.35">
      <c r="X5" s="513" t="s">
        <v>351</v>
      </c>
      <c r="Y5" s="568">
        <f>IFERROR(ROUND(1/SUM(N:N),0),0)</f>
        <v>0</v>
      </c>
      <c r="AA5" s="523" t="s">
        <v>19</v>
      </c>
      <c r="AB5" s="524"/>
      <c r="AC5" s="524"/>
      <c r="AD5" s="570" t="e">
        <f>Y18+SUM($AA$21:$AA$32)</f>
        <v>#N/A</v>
      </c>
    </row>
    <row r="6" spans="1:40" ht="16.5" customHeight="1" thickBot="1" x14ac:dyDescent="0.35">
      <c r="C6" s="14" t="s">
        <v>16</v>
      </c>
      <c r="D6" s="531" t="s">
        <v>17</v>
      </c>
      <c r="E6" s="532"/>
      <c r="F6" s="532"/>
      <c r="G6" s="533"/>
      <c r="X6" s="514"/>
      <c r="Y6" s="569"/>
      <c r="Z6" s="1"/>
      <c r="AA6" s="525"/>
      <c r="AB6" s="526"/>
      <c r="AC6" s="526"/>
      <c r="AD6" s="571"/>
    </row>
    <row r="7" spans="1:40" ht="16.5" customHeight="1" thickBot="1" x14ac:dyDescent="0.35">
      <c r="C7" s="14" t="s">
        <v>20</v>
      </c>
      <c r="D7" s="531" t="s">
        <v>317</v>
      </c>
      <c r="E7" s="532"/>
      <c r="F7" s="532"/>
      <c r="G7" s="533"/>
      <c r="X7" s="513" t="s">
        <v>352</v>
      </c>
      <c r="Y7" s="577">
        <v>12</v>
      </c>
    </row>
    <row r="8" spans="1:40" ht="16.5" customHeight="1" thickBot="1" x14ac:dyDescent="0.35">
      <c r="B8" s="6"/>
      <c r="L8" s="579" t="s">
        <v>0</v>
      </c>
      <c r="M8" s="579" t="s">
        <v>1</v>
      </c>
      <c r="N8" s="580" t="s">
        <v>2</v>
      </c>
      <c r="O8" s="581" t="s">
        <v>3</v>
      </c>
      <c r="P8" s="581" t="s">
        <v>4</v>
      </c>
      <c r="Q8" s="581" t="s">
        <v>5</v>
      </c>
      <c r="R8" s="581" t="s">
        <v>353</v>
      </c>
      <c r="S8" s="581" t="s">
        <v>7</v>
      </c>
      <c r="T8" s="369"/>
      <c r="U8" s="369"/>
      <c r="V8" s="369"/>
      <c r="X8" s="514"/>
      <c r="Y8" s="578"/>
      <c r="AA8" s="545" t="s">
        <v>27</v>
      </c>
      <c r="AB8" s="582"/>
      <c r="AC8" s="546"/>
      <c r="AD8" s="110">
        <v>0.02</v>
      </c>
    </row>
    <row r="9" spans="1:40" ht="15" customHeight="1" thickBot="1" x14ac:dyDescent="0.35">
      <c r="L9" s="579"/>
      <c r="M9" s="579"/>
      <c r="N9" s="580"/>
      <c r="O9" s="581"/>
      <c r="P9" s="581"/>
      <c r="Q9" s="581" t="s">
        <v>5</v>
      </c>
      <c r="R9" s="581"/>
      <c r="S9" s="581" t="s">
        <v>5</v>
      </c>
      <c r="T9" s="369"/>
      <c r="U9" s="369"/>
      <c r="V9" s="369"/>
      <c r="AA9" s="550" t="s">
        <v>30</v>
      </c>
      <c r="AB9" s="583"/>
      <c r="AC9" s="551"/>
      <c r="AD9" s="111">
        <v>5.0000000000000001E-3</v>
      </c>
    </row>
    <row r="10" spans="1:40" s="1" customFormat="1" ht="16.5" customHeight="1" thickBot="1" x14ac:dyDescent="0.35">
      <c r="A10" s="270"/>
      <c r="B10" s="188" t="s">
        <v>40</v>
      </c>
      <c r="C10" s="188" t="s">
        <v>41</v>
      </c>
      <c r="D10" s="188" t="s">
        <v>42</v>
      </c>
      <c r="E10" s="188" t="s">
        <v>5</v>
      </c>
      <c r="F10" s="188" t="s">
        <v>7</v>
      </c>
      <c r="G10" s="188" t="s">
        <v>354</v>
      </c>
      <c r="H10" s="188" t="s">
        <v>43</v>
      </c>
      <c r="I10" s="188" t="s">
        <v>51</v>
      </c>
      <c r="J10" s="188" t="s">
        <v>47</v>
      </c>
      <c r="K10" s="188" t="s">
        <v>48</v>
      </c>
      <c r="L10" s="579"/>
      <c r="M10" s="579"/>
      <c r="N10" s="580"/>
      <c r="O10" s="581"/>
      <c r="P10" s="581" t="s">
        <v>4</v>
      </c>
      <c r="Q10" s="581"/>
      <c r="R10" s="581"/>
      <c r="S10" s="581"/>
      <c r="T10" s="210" t="s">
        <v>355</v>
      </c>
      <c r="U10" s="210" t="s">
        <v>50</v>
      </c>
      <c r="V10" s="210" t="s">
        <v>51</v>
      </c>
      <c r="W10" s="189"/>
      <c r="X10" s="188" t="s">
        <v>41</v>
      </c>
      <c r="Y10" s="188" t="s">
        <v>47</v>
      </c>
      <c r="Z10" s="46"/>
      <c r="AE10" s="370"/>
      <c r="AH10" s="55"/>
      <c r="AJ10"/>
    </row>
    <row r="11" spans="1:40" ht="15.75" customHeight="1" x14ac:dyDescent="0.3">
      <c r="A11" s="271" t="str">
        <f>IFERROR(VLOOKUP(C11,LIST!$A$3:$C$61,4,FALSE),"")</f>
        <v/>
      </c>
      <c r="B11" s="56">
        <v>6</v>
      </c>
      <c r="C11" s="57" t="s">
        <v>356</v>
      </c>
      <c r="D11" s="191"/>
      <c r="E11" s="371"/>
      <c r="F11" s="191"/>
      <c r="G11" s="114"/>
      <c r="H11" s="58" t="s">
        <v>357</v>
      </c>
      <c r="I11" s="192"/>
      <c r="J11" s="226">
        <f>IF(AND(T11&lt;&gt;"USA",U11&lt;&gt;"USA",V11="NO"),IFERROR((VLOOKUP(C11,FL_COST_COL,MATCH(VLOOKUP($D$6,LIST!$A$111:$B$116,2,FALSE),'FL COST'!$A$1:$G$1,0),FALSE)+IF(D11="Y",0.02,0)+IF(E11="Y",0.02,0)),0),IF(AND(T11&lt;&gt;"USA",U11&lt;&gt;"USA",V11="$"),"ERASE USA COST",IF(AND(T11&lt;&gt;"USA",U11="USA",V11="NO"),"SELECT USA",IF(AND(T11&lt;&gt;"USA",U11="USA",V11="$"),"SELECT USA",IF(AND(T11="USA",U11&lt;&gt;"USA",V11="NO"),"USA COST",IF(AND(T11="USA",U11&lt;&gt;"USA",V11="$"),I11,IF(AND(T11="USA",U11="USA",V11="NO"),"USA COST",IF(AND(T11="USA",U11="USA",V11="$"),I11,IF(C11="","")))))))))</f>
        <v>0</v>
      </c>
      <c r="K11" s="227">
        <f>IFERROR(B11*J11,"ERROR")</f>
        <v>0</v>
      </c>
      <c r="L11" s="211" t="e">
        <f>IF(G11="USA",0,B11*1/VLOOKUP(C11,PACK!A:B,15,FALSE))</f>
        <v>#N/A</v>
      </c>
      <c r="M11" s="211" t="e">
        <f>B11*1/VLOOKUP(C11,PACK!A:B,15,FALSE)</f>
        <v>#N/A</v>
      </c>
      <c r="N11" s="209" t="e">
        <f>B11*1/VLOOKUP(C11,PACK!A:B,9,FALSE)</f>
        <v>#N/A</v>
      </c>
      <c r="O11" s="212" t="e">
        <f t="shared" ref="O11:O35" si="0">IF(B11&lt;&gt;0,L11*VLOOKUP($D$6,FB_COST,3,FALSE),0)</f>
        <v>#N/A</v>
      </c>
      <c r="P11" s="213" t="b">
        <f>ISNUMBER(MATCH("TNT_"&amp;A11,TINTED!#REF!,0))</f>
        <v>0</v>
      </c>
      <c r="Q11" s="213" t="b">
        <f>ISNUMBER(MATCH("GLT_"&amp;A11,GLITTERED!#REF!,0))</f>
        <v>0</v>
      </c>
      <c r="R11" s="213" t="b">
        <f>ISNUMBER(MATCH("TNT_GLT_"&amp;A11,'TNT-GLT'!$B$1:$O$1,0))</f>
        <v>0</v>
      </c>
      <c r="S11" s="213" t="b">
        <f>ISNUMBER(MATCH("BC_"&amp;A11,BICOLOR!$B$1:$P$1,0))</f>
        <v>0</v>
      </c>
      <c r="T11" s="213" t="str">
        <f>IF(OR(G11="",G11="COL"),"COL","USA")</f>
        <v>COL</v>
      </c>
      <c r="U11" s="214" t="str">
        <f t="shared" ref="U11:U35" si="1">IFERROR(IF(VLOOKUP(C11,FL_COST_COL,2,FALSE)="USA","USA","COL"),"")</f>
        <v/>
      </c>
      <c r="V11" s="213" t="str">
        <f>IF(I11&lt;&gt;"","$","NO")</f>
        <v>NO</v>
      </c>
      <c r="W11" s="193"/>
      <c r="X11" s="194" t="s">
        <v>32</v>
      </c>
      <c r="Y11" s="230">
        <f>SUMIFS(K:K,G:G,"COL")+SUMIFS(K:K,G:G,"")</f>
        <v>0</v>
      </c>
      <c r="AB11" s="29"/>
      <c r="AD11" s="1"/>
      <c r="AE11" s="1"/>
      <c r="AF11" s="1"/>
      <c r="AG11" s="1"/>
    </row>
    <row r="12" spans="1:40" ht="15.75" customHeight="1" thickBot="1" x14ac:dyDescent="0.35">
      <c r="A12" s="271" t="str">
        <f>IFERROR(VLOOKUP(C12,LIST!$A$3:$C$61,4,FALSE),"")</f>
        <v/>
      </c>
      <c r="B12" s="56">
        <v>6</v>
      </c>
      <c r="C12" s="57" t="s">
        <v>356</v>
      </c>
      <c r="D12" s="371"/>
      <c r="E12" s="371"/>
      <c r="F12" s="371"/>
      <c r="G12" s="114"/>
      <c r="H12" s="58" t="s">
        <v>358</v>
      </c>
      <c r="I12" s="192"/>
      <c r="J12" s="226">
        <f>IF(AND(T12&lt;&gt;"USA",U12&lt;&gt;"USA",V12="NO"),IFERROR((VLOOKUP(C12,FL_COST_COL,MATCH(VLOOKUP($D$6,LIST!$A$111:$B$116,2,FALSE),'FL COST'!$A$1:$G$1,0),FALSE)+IF(D12="Y",0.02,0)+IF(E12="Y",0.02,0)),0),IF(AND(T12&lt;&gt;"USA",U12&lt;&gt;"USA",V12="$"),"ERASE USA COST",IF(AND(T12&lt;&gt;"USA",U12="USA",V12="NO"),"SELECT USA",IF(AND(T12&lt;&gt;"USA",U12="USA",V12="$"),"SELECT USA",IF(AND(T12="USA",U12&lt;&gt;"USA",V12="NO"),"USA COST",IF(AND(T12="USA",U12&lt;&gt;"USA",V12="$"),I12,IF(AND(T12="USA",U12="USA",V12="NO"),"USA COST",IF(AND(T12="USA",U12="USA",V12="$"),I12,IF(C12="","")))))))))</f>
        <v>0</v>
      </c>
      <c r="K12" s="228">
        <f t="shared" ref="K12:K35" si="2">IFERROR(B12*J12,"ERROR")</f>
        <v>0</v>
      </c>
      <c r="L12" s="211" t="e">
        <f>IF(G12="USA",0,B12*1/VLOOKUP(C12,PACK!A:B,15,FALSE))</f>
        <v>#N/A</v>
      </c>
      <c r="M12" s="211" t="e">
        <f>B12*1/VLOOKUP(C12,PACK!A:B,15,FALSE)</f>
        <v>#N/A</v>
      </c>
      <c r="N12" s="209" t="e">
        <f>B12*1/VLOOKUP(C12,PACK!A:B,9,FALSE)</f>
        <v>#N/A</v>
      </c>
      <c r="O12" s="212" t="e">
        <f t="shared" si="0"/>
        <v>#N/A</v>
      </c>
      <c r="P12" s="213" t="b">
        <f>ISNUMBER(MATCH("TNT_"&amp;A12,TINTED!#REF!,0))</f>
        <v>0</v>
      </c>
      <c r="Q12" s="213" t="b">
        <f>ISNUMBER(MATCH("GLT_"&amp;A12,GLITTERED!#REF!,0))</f>
        <v>0</v>
      </c>
      <c r="R12" s="213" t="b">
        <f>ISNUMBER(MATCH("TNT_GLT_"&amp;A12,'TNT-GLT'!$B$1:$O$1,0))</f>
        <v>0</v>
      </c>
      <c r="S12" s="213" t="b">
        <f>ISNUMBER(MATCH("BC_"&amp;A12,BICOLOR!$B$1:$P$1,0))</f>
        <v>0</v>
      </c>
      <c r="T12" s="213" t="str">
        <f t="shared" ref="T12:T35" si="3">IF(OR(G12="",G12="COL"),"COL","USA")</f>
        <v>COL</v>
      </c>
      <c r="U12" s="214" t="str">
        <f t="shared" si="1"/>
        <v/>
      </c>
      <c r="V12" s="213" t="str">
        <f t="shared" ref="V12:V35" si="4">IF(I12&lt;&gt;"","$","NO")</f>
        <v>NO</v>
      </c>
      <c r="W12" s="193"/>
      <c r="X12" s="194" t="s">
        <v>359</v>
      </c>
      <c r="Y12" s="230">
        <f>SUMIFS(K:K,G:G,"USA")</f>
        <v>0</v>
      </c>
      <c r="AB12" s="29"/>
      <c r="AC12" s="266"/>
      <c r="AD12" s="39" t="s">
        <v>52</v>
      </c>
      <c r="AE12" s="195" t="s">
        <v>53</v>
      </c>
      <c r="AF12" s="188" t="s">
        <v>54</v>
      </c>
      <c r="AG12" s="269"/>
      <c r="AH12" s="39" t="s">
        <v>34</v>
      </c>
      <c r="AI12" s="39" t="s">
        <v>35</v>
      </c>
      <c r="AJ12" s="39" t="s">
        <v>36</v>
      </c>
      <c r="AK12" s="39" t="s">
        <v>37</v>
      </c>
      <c r="AL12" s="39" t="s">
        <v>38</v>
      </c>
      <c r="AM12" s="39" t="s">
        <v>360</v>
      </c>
    </row>
    <row r="13" spans="1:40" x14ac:dyDescent="0.3">
      <c r="A13" s="271" t="str">
        <f>IFERROR(VLOOKUP(C13,LIST!$A$3:$C$61,4,FALSE),"")</f>
        <v/>
      </c>
      <c r="B13" s="56"/>
      <c r="C13" s="57"/>
      <c r="D13" s="371"/>
      <c r="E13" s="371"/>
      <c r="F13" s="371"/>
      <c r="G13" s="114"/>
      <c r="H13" s="58"/>
      <c r="I13" s="192"/>
      <c r="J13" s="226">
        <f>IF(AND(T13&lt;&gt;"USA",U13&lt;&gt;"USA",V13="NO"),IFERROR((VLOOKUP(C13,FL_COST_COL,MATCH(VLOOKUP($D$6,LIST!$A$111:$B$116,2,FALSE),'FL COST'!$A$1:$G$1,0),FALSE)+IF(D13="Y",0.02,0)+IF(E13="Y",0.02,0)),0),IF(AND(T13&lt;&gt;"USA",U13&lt;&gt;"USA",V13="$"),"ERASE USA COST",IF(AND(T13&lt;&gt;"USA",U13="USA",V13="NO"),"SELECT USA",IF(AND(T13&lt;&gt;"USA",U13="USA",V13="$"),"SELECT USA",IF(AND(T13="USA",U13&lt;&gt;"USA",V13="NO"),"USA COST",IF(AND(T13="USA",U13&lt;&gt;"USA",V13="$"),I13,IF(AND(T13="USA",U13="USA",V13="NO"),"USA COST",IF(AND(T13="USA",U13="USA",V13="$"),I13,IF(C13="","")))))))))</f>
        <v>0</v>
      </c>
      <c r="K13" s="228">
        <f t="shared" si="2"/>
        <v>0</v>
      </c>
      <c r="L13" s="211" t="e">
        <f>IF(G13="USA",0,B13*1/VLOOKUP(C13,PACK!A:B,15,FALSE))</f>
        <v>#N/A</v>
      </c>
      <c r="M13" s="211" t="e">
        <f>B13*1/VLOOKUP(C13,PACK!A:B,15,FALSE)</f>
        <v>#N/A</v>
      </c>
      <c r="N13" s="209" t="e">
        <f>B13*1/VLOOKUP(C13,PACK!A:B,9,FALSE)</f>
        <v>#N/A</v>
      </c>
      <c r="O13" s="212">
        <f t="shared" si="0"/>
        <v>0</v>
      </c>
      <c r="P13" s="213" t="b">
        <f>ISNUMBER(MATCH("TNT_"&amp;A13,TINTED!#REF!,0))</f>
        <v>0</v>
      </c>
      <c r="Q13" s="213" t="b">
        <f>ISNUMBER(MATCH("GLT_"&amp;A13,GLITTERED!#REF!,0))</f>
        <v>0</v>
      </c>
      <c r="R13" s="213" t="b">
        <f>ISNUMBER(MATCH("TNT_GLT_"&amp;A13,'TNT-GLT'!$B$1:$O$1,0))</f>
        <v>0</v>
      </c>
      <c r="S13" s="213" t="b">
        <f>ISNUMBER(MATCH("BC_"&amp;A13,BICOLOR!$B$1:$P$1,0))</f>
        <v>0</v>
      </c>
      <c r="T13" s="213" t="str">
        <f t="shared" si="3"/>
        <v>COL</v>
      </c>
      <c r="U13" s="214" t="str">
        <f t="shared" si="1"/>
        <v/>
      </c>
      <c r="V13" s="213" t="str">
        <f t="shared" si="4"/>
        <v>NO</v>
      </c>
      <c r="W13" s="193"/>
      <c r="X13" s="194" t="s">
        <v>361</v>
      </c>
      <c r="Y13" s="230" t="e">
        <f>SUM(O:O)</f>
        <v>#N/A</v>
      </c>
      <c r="Z13" s="29"/>
      <c r="AA13" s="29"/>
      <c r="AB13" s="29"/>
      <c r="AC13" s="266" t="s">
        <v>52</v>
      </c>
      <c r="AD13" s="30" t="s">
        <v>57</v>
      </c>
      <c r="AE13" s="234" t="e">
        <f>SUM(M:M)*VLOOKUP(AE12,LIST!$A$121:$C$126,3,FALSE)</f>
        <v>#N/A</v>
      </c>
      <c r="AF13" s="574">
        <v>0.1</v>
      </c>
      <c r="AG13" s="266">
        <v>1</v>
      </c>
      <c r="AH13" s="244" t="str">
        <f>IFERROR(VLOOKUP(AG13&amp;"-"&amp;$D$7,'CUST DATAB'!B:E,3,FALSE),"")</f>
        <v>CALIFORNIA</v>
      </c>
      <c r="AI13" s="245" t="str">
        <f>IFERROR(VLOOKUP(AG13&amp;"-"&amp;$D$7,'CUST DATAB'!B:E,4,FALSE),"")</f>
        <v>FONTANA</v>
      </c>
      <c r="AJ13" s="246">
        <f>IFERROR(IF(VLOOKUP($AH13,$AC$13:$AF$35,4,FALSE)&lt;&gt;0,IF(AI13&lt;&gt;"",VLOOKUP(AI13,'CUST DATAB'!E:F,2,FALSE),""),""),"")</f>
        <v>0.28999999999999998</v>
      </c>
      <c r="AK13" s="246">
        <f t="shared" ref="AK13:AK16" si="5">IFERROR(IF(VLOOKUP($AH13,$AC$13:$AF$35,4,FALSE)&lt;&gt;0,IF(AI13&lt;&gt;"",AJ13*$Y$34,""),""),"")</f>
        <v>1.0069444444444444</v>
      </c>
      <c r="AL13" s="247">
        <f>IFERROR(IF(VLOOKUP($AH13,$AC$13:$AF$35,4,FALSE)&lt;&gt;0,IF(AH13&lt;&gt;"",AK13/$Y$7,""),""),"")</f>
        <v>8.3912037037037035E-2</v>
      </c>
      <c r="AM13" s="247" t="str">
        <f t="shared" ref="AM13:AM16" si="6">IFERROR(IF(VLOOKUP($AH13,$AC$13:$AF$35,4,FALSE)&lt;&gt;0,IF(AI13&lt;&gt;"",$AD$3+AL13,""),""),"")</f>
        <v/>
      </c>
      <c r="AN13" s="113"/>
    </row>
    <row r="14" spans="1:40" x14ac:dyDescent="0.3">
      <c r="A14" s="271" t="str">
        <f>IFERROR(VLOOKUP(C14,LIST!$A$3:$C$61,4,FALSE),"")</f>
        <v/>
      </c>
      <c r="B14" s="56"/>
      <c r="C14" s="57"/>
      <c r="D14" s="371"/>
      <c r="E14" s="371"/>
      <c r="F14" s="371"/>
      <c r="G14" s="114"/>
      <c r="H14" s="58"/>
      <c r="I14" s="192"/>
      <c r="J14" s="226">
        <f>IF(AND(T14&lt;&gt;"USA",U14&lt;&gt;"USA",V14="NO"),IFERROR((VLOOKUP(C14,FL_COST_COL,MATCH(VLOOKUP($D$6,LIST!$A$111:$B$116,2,FALSE),'FL COST'!$A$1:$G$1,0),FALSE)+IF(D14="Y",0.02,0)+IF(E14="Y",0.02,0)),0),IF(AND(T14&lt;&gt;"USA",U14&lt;&gt;"USA",V14="$"),"ERASE USA COST",IF(AND(T14&lt;&gt;"USA",U14="USA",V14="NO"),"SELECT USA",IF(AND(T14&lt;&gt;"USA",U14="USA",V14="$"),"SELECT USA",IF(AND(T14="USA",U14&lt;&gt;"USA",V14="NO"),"USA COST",IF(AND(T14="USA",U14&lt;&gt;"USA",V14="$"),I14,IF(AND(T14="USA",U14="USA",V14="NO"),"USA COST",IF(AND(T14="USA",U14="USA",V14="$"),I14,IF(C14="","")))))))))</f>
        <v>0</v>
      </c>
      <c r="K14" s="228">
        <f t="shared" si="2"/>
        <v>0</v>
      </c>
      <c r="L14" s="211" t="e">
        <f>IF(G14="USA",0,B14*1/VLOOKUP(C14,PACK!A:B,15,FALSE))</f>
        <v>#N/A</v>
      </c>
      <c r="M14" s="211" t="e">
        <f>B14*1/VLOOKUP(C14,PACK!A:B,15,FALSE)</f>
        <v>#N/A</v>
      </c>
      <c r="N14" s="209" t="e">
        <f>B14*1/VLOOKUP(C14,PACK!A:B,9,FALSE)</f>
        <v>#N/A</v>
      </c>
      <c r="O14" s="212">
        <f t="shared" si="0"/>
        <v>0</v>
      </c>
      <c r="P14" s="213" t="b">
        <f>ISNUMBER(MATCH("TNT_"&amp;A14,TINTED!#REF!,0))</f>
        <v>0</v>
      </c>
      <c r="Q14" s="213" t="b">
        <f>ISNUMBER(MATCH("GLT_"&amp;A14,GLITTERED!#REF!,0))</f>
        <v>0</v>
      </c>
      <c r="R14" s="213" t="b">
        <f>ISNUMBER(MATCH("TNT_GLT_"&amp;A14,'TNT-GLT'!$B$1:$O$1,0))</f>
        <v>0</v>
      </c>
      <c r="S14" s="213" t="b">
        <f>ISNUMBER(MATCH("BC_"&amp;A14,BICOLOR!$B$1:$P$1,0))</f>
        <v>0</v>
      </c>
      <c r="T14" s="213" t="str">
        <f t="shared" si="3"/>
        <v>COL</v>
      </c>
      <c r="U14" s="214" t="str">
        <f t="shared" si="1"/>
        <v/>
      </c>
      <c r="V14" s="213" t="str">
        <f t="shared" si="4"/>
        <v>NO</v>
      </c>
      <c r="W14" s="193"/>
      <c r="X14" s="194" t="s">
        <v>56</v>
      </c>
      <c r="Y14" s="231" t="e">
        <f>+SUM(Y11:Y13)</f>
        <v>#N/A</v>
      </c>
      <c r="Z14" s="29"/>
      <c r="AA14" s="29"/>
      <c r="AB14" s="29"/>
      <c r="AC14" s="266"/>
      <c r="AD14" s="31" t="s">
        <v>59</v>
      </c>
      <c r="AE14" s="235">
        <f>VLOOKUP(AE12,LIST!$A$231:$F$236,MATCH($Y$3,LIST!$A$229:$F$229,1),FALSE)</f>
        <v>0.94</v>
      </c>
      <c r="AF14" s="575"/>
      <c r="AG14" s="266">
        <v>2</v>
      </c>
      <c r="AH14" s="244" t="str">
        <f>IFERROR(VLOOKUP(AG14&amp;"-"&amp;$D$7,'CUST DATAB'!B:E,3,FALSE),"")</f>
        <v>CALIFORNIA</v>
      </c>
      <c r="AI14" s="245" t="str">
        <f>IFERROR(VLOOKUP(AG14&amp;"-"&amp;$D$7,'CUST DATAB'!B:E,4,FALSE),"")</f>
        <v>CROSS DOCK WAREHOUSE ARIZONA</v>
      </c>
      <c r="AJ14" s="246">
        <f>IFERROR(IF(VLOOKUP($AH14,$AC$13:$AF$35,4,FALSE)&lt;&gt;0,IF(AI14&lt;&gt;"",VLOOKUP(AI14,'CUST DATAB'!E:F,2,FALSE),""),""),"")</f>
        <v>0.61</v>
      </c>
      <c r="AK14" s="246">
        <f t="shared" si="5"/>
        <v>2.1180555555555554</v>
      </c>
      <c r="AL14" s="247">
        <f t="shared" ref="AL14:AL54" si="7">IFERROR(IF(VLOOKUP($AH14,$AC$13:$AF$35,4,FALSE)&lt;&gt;0,IF(AH14&lt;&gt;"",AK14/$Y$7,""),""),"")</f>
        <v>0.17650462962962962</v>
      </c>
      <c r="AM14" s="247" t="str">
        <f t="shared" si="6"/>
        <v/>
      </c>
      <c r="AN14" s="113"/>
    </row>
    <row r="15" spans="1:40" ht="15" thickBot="1" x14ac:dyDescent="0.35">
      <c r="A15" s="271" t="str">
        <f>IFERROR(VLOOKUP(C15,LIST!$A$3:$C$61,4,FALSE),"")</f>
        <v/>
      </c>
      <c r="B15" s="56"/>
      <c r="C15" s="57"/>
      <c r="D15" s="371"/>
      <c r="E15" s="371"/>
      <c r="F15" s="371"/>
      <c r="G15" s="114"/>
      <c r="H15" s="58"/>
      <c r="I15" s="192"/>
      <c r="J15" s="226">
        <f>IF(AND(T15&lt;&gt;"USA",U15&lt;&gt;"USA",V15="NO"),IFERROR((VLOOKUP(C15,FL_COST_COL,MATCH(VLOOKUP($D$6,LIST!$A$111:$B$116,2,FALSE),'FL COST'!$A$1:$G$1,0),FALSE)+IF(D15="Y",0.02,0)+IF(E15="Y",0.02,0)),0),IF(AND(T15&lt;&gt;"USA",U15&lt;&gt;"USA",V15="$"),"ERASE USA COST",IF(AND(T15&lt;&gt;"USA",U15="USA",V15="NO"),"SELECT USA",IF(AND(T15&lt;&gt;"USA",U15="USA",V15="$"),"SELECT USA",IF(AND(T15="USA",U15&lt;&gt;"USA",V15="NO"),"USA COST",IF(AND(T15="USA",U15&lt;&gt;"USA",V15="$"),I15,IF(AND(T15="USA",U15="USA",V15="NO"),"USA COST",IF(AND(T15="USA",U15="USA",V15="$"),I15,IF(C15="","")))))))))</f>
        <v>0</v>
      </c>
      <c r="K15" s="228">
        <f t="shared" si="2"/>
        <v>0</v>
      </c>
      <c r="L15" s="211" t="e">
        <f>IF(G15="USA",0,B15*1/VLOOKUP(C15,PACK!A:B,15,FALSE))</f>
        <v>#N/A</v>
      </c>
      <c r="M15" s="211" t="e">
        <f>B15*1/VLOOKUP(C15,PACK!A:B,15,FALSE)</f>
        <v>#N/A</v>
      </c>
      <c r="N15" s="209" t="e">
        <f>B15*1/VLOOKUP(C15,PACK!A:B,9,FALSE)</f>
        <v>#N/A</v>
      </c>
      <c r="O15" s="212">
        <f t="shared" si="0"/>
        <v>0</v>
      </c>
      <c r="P15" s="213" t="b">
        <f>ISNUMBER(MATCH("TNT_"&amp;A15,TINTED!#REF!,0))</f>
        <v>0</v>
      </c>
      <c r="Q15" s="213" t="b">
        <f>ISNUMBER(MATCH("GLT_"&amp;A15,GLITTERED!#REF!,0))</f>
        <v>0</v>
      </c>
      <c r="R15" s="213" t="b">
        <f>ISNUMBER(MATCH("TNT_GLT_"&amp;A15,'TNT-GLT'!$B$1:$O$1,0))</f>
        <v>0</v>
      </c>
      <c r="S15" s="213" t="b">
        <f>ISNUMBER(MATCH("BC_"&amp;A15,BICOLOR!$B$1:$P$1,0))</f>
        <v>0</v>
      </c>
      <c r="T15" s="213" t="str">
        <f t="shared" si="3"/>
        <v>COL</v>
      </c>
      <c r="U15" s="214" t="str">
        <f t="shared" si="1"/>
        <v/>
      </c>
      <c r="V15" s="213" t="str">
        <f t="shared" si="4"/>
        <v>NO</v>
      </c>
      <c r="W15" s="193"/>
      <c r="X15" s="196"/>
      <c r="Y15" s="232"/>
      <c r="Z15" s="29"/>
      <c r="AA15" s="29"/>
      <c r="AB15" s="29"/>
      <c r="AC15" s="266"/>
      <c r="AD15" s="32" t="s">
        <v>62</v>
      </c>
      <c r="AE15" s="236" t="e">
        <f>+$Y$14+SUM($AA$21:$AA$32)+AE13+AE14</f>
        <v>#N/A</v>
      </c>
      <c r="AF15" s="576"/>
      <c r="AG15" s="266">
        <v>3</v>
      </c>
      <c r="AH15" s="244" t="str">
        <f>IFERROR(VLOOKUP(AG15&amp;"-"&amp;$D$7,'CUST DATAB'!B:E,3,FALSE),"")</f>
        <v>CALIFORNIA</v>
      </c>
      <c r="AI15" s="245" t="str">
        <f>IFERROR(VLOOKUP(AG15&amp;"-"&amp;$D$7,'CUST DATAB'!B:E,4,FALSE),"")</f>
        <v>LACEY XDOCK</v>
      </c>
      <c r="AJ15" s="246">
        <f>IFERROR(IF(VLOOKUP($AH15,$AC$13:$AF$35,4,FALSE)&lt;&gt;0,IF(AI15&lt;&gt;"",VLOOKUP(AI15,'CUST DATAB'!E:F,2,FALSE),""),""),"")</f>
        <v>1.5</v>
      </c>
      <c r="AK15" s="246">
        <f t="shared" si="5"/>
        <v>5.2083333333333339</v>
      </c>
      <c r="AL15" s="247">
        <f t="shared" si="7"/>
        <v>0.43402777777777785</v>
      </c>
      <c r="AM15" s="247" t="str">
        <f t="shared" si="6"/>
        <v/>
      </c>
      <c r="AN15" s="113"/>
    </row>
    <row r="16" spans="1:40" x14ac:dyDescent="0.3">
      <c r="A16" s="271" t="str">
        <f>IFERROR(VLOOKUP(C16,LIST!$A$3:$C$61,4,FALSE),"")</f>
        <v/>
      </c>
      <c r="B16" s="56"/>
      <c r="C16" s="57"/>
      <c r="D16" s="371"/>
      <c r="E16" s="371"/>
      <c r="F16" s="371"/>
      <c r="G16" s="114"/>
      <c r="H16" s="58"/>
      <c r="I16" s="192"/>
      <c r="J16" s="226">
        <f>IF(AND(T16&lt;&gt;"USA",U16&lt;&gt;"USA",V16="NO"),IFERROR((VLOOKUP(C16,FL_COST_COL,MATCH(VLOOKUP($D$6,LIST!$A$111:$B$116,2,FALSE),'FL COST'!$A$1:$G$1,0),FALSE)+IF(D16="Y",0.02,0)+IF(E16="Y",0.02,0)),0),IF(AND(T16&lt;&gt;"USA",U16&lt;&gt;"USA",V16="$"),"ERASE USA COST",IF(AND(T16&lt;&gt;"USA",U16="USA",V16="NO"),"SELECT USA",IF(AND(T16&lt;&gt;"USA",U16="USA",V16="$"),"SELECT USA",IF(AND(T16="USA",U16&lt;&gt;"USA",V16="NO"),"USA COST",IF(AND(T16="USA",U16&lt;&gt;"USA",V16="$"),I16,IF(AND(T16="USA",U16="USA",V16="NO"),"USA COST",IF(AND(T16="USA",U16="USA",V16="$"),I16,IF(C16="","")))))))))</f>
        <v>0</v>
      </c>
      <c r="K16" s="228">
        <f t="shared" si="2"/>
        <v>0</v>
      </c>
      <c r="L16" s="211" t="e">
        <f>IF(G16="USA",0,B16*1/VLOOKUP(C16,PACK!A:B,15,FALSE))</f>
        <v>#N/A</v>
      </c>
      <c r="M16" s="211" t="e">
        <f>B16*1/VLOOKUP(C16,PACK!A:B,15,FALSE)</f>
        <v>#N/A</v>
      </c>
      <c r="N16" s="209" t="e">
        <f>B16*1/VLOOKUP(C16,PACK!A:B,9,FALSE)</f>
        <v>#N/A</v>
      </c>
      <c r="O16" s="212">
        <f t="shared" si="0"/>
        <v>0</v>
      </c>
      <c r="P16" s="213" t="b">
        <f>ISNUMBER(MATCH("TNT_"&amp;A16,TINTED!#REF!,0))</f>
        <v>0</v>
      </c>
      <c r="Q16" s="213" t="b">
        <f>ISNUMBER(MATCH("GLT_"&amp;A16,GLITTERED!#REF!,0))</f>
        <v>0</v>
      </c>
      <c r="R16" s="213" t="b">
        <f>ISNUMBER(MATCH("TNT_GLT_"&amp;A16,'TNT-GLT'!$B$1:$O$1,0))</f>
        <v>0</v>
      </c>
      <c r="S16" s="213" t="b">
        <f>ISNUMBER(MATCH("BC_"&amp;A16,BICOLOR!$B$1:$P$1,0))</f>
        <v>0</v>
      </c>
      <c r="T16" s="213" t="str">
        <f t="shared" si="3"/>
        <v>COL</v>
      </c>
      <c r="U16" s="214" t="str">
        <f t="shared" si="1"/>
        <v/>
      </c>
      <c r="V16" s="213" t="str">
        <f t="shared" si="4"/>
        <v>NO</v>
      </c>
      <c r="W16" s="197"/>
      <c r="X16" s="194" t="s">
        <v>362</v>
      </c>
      <c r="Y16" s="233" t="e">
        <f>(AE13*AF13)+(AE18*AF18)+(AE23*AF23)+(AE28*AF28)+(AE33*AF33)+(AE38*AF38)</f>
        <v>#N/A</v>
      </c>
      <c r="Z16" s="29"/>
      <c r="AA16" s="29"/>
      <c r="AC16" s="266"/>
      <c r="AG16" s="266">
        <v>4</v>
      </c>
      <c r="AH16" s="244" t="str">
        <f>IFERROR(VLOOKUP(AG16&amp;"-"&amp;$D$7,'CUST DATAB'!B:E,3,FALSE),"")</f>
        <v>CALIFORNIA</v>
      </c>
      <c r="AI16" s="245" t="str">
        <f>IFERROR(VLOOKUP(AG16&amp;"-"&amp;$D$7,'CUST DATAB'!B:E,4,FALSE),"")</f>
        <v>STOCKTON CROSS DOCK</v>
      </c>
      <c r="AJ16" s="246">
        <f>IFERROR(IF(VLOOKUP($AH16,$AC$13:$AF$35,4,FALSE)&lt;&gt;0,IF(AI16&lt;&gt;"",VLOOKUP(AI16,'CUST DATAB'!E:F,2,FALSE),""),""),"")</f>
        <v>1.5</v>
      </c>
      <c r="AK16" s="246">
        <f t="shared" si="5"/>
        <v>5.2083333333333339</v>
      </c>
      <c r="AL16" s="247">
        <f t="shared" si="7"/>
        <v>0.43402777777777785</v>
      </c>
      <c r="AM16" s="247" t="str">
        <f t="shared" si="6"/>
        <v/>
      </c>
      <c r="AN16" s="113"/>
    </row>
    <row r="17" spans="1:40" ht="15" customHeight="1" thickBot="1" x14ac:dyDescent="0.35">
      <c r="A17" s="271" t="str">
        <f>IFERROR(VLOOKUP(C17,LIST!$A$3:$C$61,4,FALSE),"")</f>
        <v/>
      </c>
      <c r="B17" s="56"/>
      <c r="C17" s="57"/>
      <c r="D17" s="371"/>
      <c r="E17" s="371"/>
      <c r="F17" s="371"/>
      <c r="G17" s="114"/>
      <c r="H17" s="58"/>
      <c r="I17" s="192"/>
      <c r="J17" s="226">
        <f>IF(AND(T17&lt;&gt;"USA",U17&lt;&gt;"USA",V17="NO"),IFERROR((VLOOKUP(C17,FL_COST_COL,MATCH(VLOOKUP($D$6,LIST!$A$111:$B$116,2,FALSE),'FL COST'!$A$1:$G$1,0),FALSE)+IF(D17="Y",0.02,0)+IF(E17="Y",0.02,0)),0),IF(AND(T17&lt;&gt;"USA",U17&lt;&gt;"USA",V17="$"),"ERASE USA COST",IF(AND(T17&lt;&gt;"USA",U17="USA",V17="NO"),"SELECT USA",IF(AND(T17&lt;&gt;"USA",U17="USA",V17="$"),"SELECT USA",IF(AND(T17="USA",U17&lt;&gt;"USA",V17="NO"),"USA COST",IF(AND(T17="USA",U17&lt;&gt;"USA",V17="$"),I17,IF(AND(T17="USA",U17="USA",V17="NO"),"USA COST",IF(AND(T17="USA",U17="USA",V17="$"),I17,IF(C17="","")))))))))</f>
        <v>0</v>
      </c>
      <c r="K17" s="228">
        <f t="shared" si="2"/>
        <v>0</v>
      </c>
      <c r="L17" s="211" t="e">
        <f>IF(G17="USA",0,B17*1/VLOOKUP(C17,PACK!A:B,15,FALSE))</f>
        <v>#N/A</v>
      </c>
      <c r="M17" s="211" t="e">
        <f>B17*1/VLOOKUP(C17,PACK!A:B,15,FALSE)</f>
        <v>#N/A</v>
      </c>
      <c r="N17" s="209" t="e">
        <f>B17*1/VLOOKUP(C17,PACK!A:B,9,FALSE)</f>
        <v>#N/A</v>
      </c>
      <c r="O17" s="212">
        <f t="shared" si="0"/>
        <v>0</v>
      </c>
      <c r="P17" s="213" t="b">
        <f>ISNUMBER(MATCH("TNT_"&amp;A17,TINTED!#REF!,0))</f>
        <v>0</v>
      </c>
      <c r="Q17" s="213" t="b">
        <f>ISNUMBER(MATCH("GLT_"&amp;A17,GLITTERED!#REF!,0))</f>
        <v>0</v>
      </c>
      <c r="R17" s="213" t="b">
        <f>ISNUMBER(MATCH("TNT_GLT_"&amp;A17,'TNT-GLT'!$B$1:$O$1,0))</f>
        <v>0</v>
      </c>
      <c r="S17" s="213" t="b">
        <f>ISNUMBER(MATCH("BC_"&amp;A17,BICOLOR!$B$1:$P$1,0))</f>
        <v>0</v>
      </c>
      <c r="T17" s="213" t="str">
        <f t="shared" si="3"/>
        <v>COL</v>
      </c>
      <c r="U17" s="214" t="str">
        <f t="shared" si="1"/>
        <v/>
      </c>
      <c r="V17" s="213" t="str">
        <f t="shared" si="4"/>
        <v>NO</v>
      </c>
      <c r="W17" s="197"/>
      <c r="X17" s="194" t="s">
        <v>363</v>
      </c>
      <c r="Y17" s="233">
        <f>+(AE14*AF13)+(AE19*AF18)+(AE24*AF23)+(AE29*AF28)+(AE34*AF33)+(AE39*AF38)</f>
        <v>0.94</v>
      </c>
      <c r="Z17" s="29"/>
      <c r="AA17" s="29"/>
      <c r="AC17" s="266"/>
      <c r="AD17" s="39" t="s">
        <v>66</v>
      </c>
      <c r="AE17" s="195" t="s">
        <v>67</v>
      </c>
      <c r="AF17" s="188" t="s">
        <v>54</v>
      </c>
      <c r="AG17" s="266">
        <v>5</v>
      </c>
      <c r="AH17" s="244" t="str">
        <f>IFERROR(VLOOKUP(AG17&amp;"-"&amp;$D$7,'CUST DATAB'!B:E,3,FALSE),"")</f>
        <v>CHICAGO</v>
      </c>
      <c r="AI17" s="245" t="str">
        <f>IFERROR(VLOOKUP(AG17&amp;"-"&amp;$D$7,'CUST DATAB'!B:E,4,FALSE),"")</f>
        <v>WCD MINOOKA</v>
      </c>
      <c r="AJ17" s="246">
        <f>IFERROR(IF(VLOOKUP($AH17,$AC$13:$AF$35,4,FALSE)&lt;&gt;0,IF(AI17&lt;&gt;"",VLOOKUP(AI17,'CUST DATAB'!E:F,2,FALSE),""),""),"")</f>
        <v>0.3</v>
      </c>
      <c r="AK17" s="246">
        <f>IFERROR(IF(VLOOKUP($AH17,$AC$13:$AF$35,4,FALSE)&lt;&gt;0,IF(AI17&lt;&gt;"",AJ17*$Y$34,""),""),"")</f>
        <v>1.0416666666666667</v>
      </c>
      <c r="AL17" s="247">
        <f>IFERROR(IF(VLOOKUP($AH17,$AC$13:$AF$35,4,FALSE)&lt;&gt;0,IF(AH17&lt;&gt;"",AK17/$Y$7,""),""),"")</f>
        <v>8.6805555555555566E-2</v>
      </c>
      <c r="AM17" s="247" t="str">
        <f>IFERROR(IF(VLOOKUP($AH17,$AC$13:$AF$35,4,FALSE)&lt;&gt;0,IF(AI17&lt;&gt;"",$AD$3+AL17,""),""),"")</f>
        <v/>
      </c>
      <c r="AN17" s="113"/>
    </row>
    <row r="18" spans="1:40" ht="15" customHeight="1" x14ac:dyDescent="0.3">
      <c r="A18" s="271" t="str">
        <f>IFERROR(VLOOKUP(C18,LIST!$A$3:$C$61,4,FALSE),"")</f>
        <v/>
      </c>
      <c r="B18" s="56"/>
      <c r="C18" s="57"/>
      <c r="D18" s="371"/>
      <c r="E18" s="371"/>
      <c r="F18" s="371"/>
      <c r="G18" s="114"/>
      <c r="H18" s="58"/>
      <c r="I18" s="192"/>
      <c r="J18" s="226">
        <f>IF(AND(T18&lt;&gt;"USA",U18&lt;&gt;"USA",V18="NO"),IFERROR((VLOOKUP(C18,FL_COST_COL,MATCH(VLOOKUP($D$6,LIST!$A$111:$B$116,2,FALSE),'FL COST'!$A$1:$G$1,0),FALSE)+IF(D18="Y",0.02,0)+IF(E18="Y",0.02,0)),0),IF(AND(T18&lt;&gt;"USA",U18&lt;&gt;"USA",V18="$"),"ERASE USA COST",IF(AND(T18&lt;&gt;"USA",U18="USA",V18="NO"),"SELECT USA",IF(AND(T18&lt;&gt;"USA",U18="USA",V18="$"),"SELECT USA",IF(AND(T18="USA",U18&lt;&gt;"USA",V18="NO"),"USA COST",IF(AND(T18="USA",U18&lt;&gt;"USA",V18="$"),I18,IF(AND(T18="USA",U18="USA",V18="NO"),"USA COST",IF(AND(T18="USA",U18="USA",V18="$"),I18,IF(C18="","")))))))))</f>
        <v>0</v>
      </c>
      <c r="K18" s="228">
        <f t="shared" si="2"/>
        <v>0</v>
      </c>
      <c r="L18" s="211" t="e">
        <f>IF(G18="USA",0,B18*1/VLOOKUP(C18,PACK!A:B,15,FALSE))</f>
        <v>#N/A</v>
      </c>
      <c r="M18" s="211" t="e">
        <f>B18*1/VLOOKUP(C18,PACK!A:B,15,FALSE)</f>
        <v>#N/A</v>
      </c>
      <c r="N18" s="209" t="e">
        <f>B18*1/VLOOKUP(C18,PACK!A:B,9,FALSE)</f>
        <v>#N/A</v>
      </c>
      <c r="O18" s="212">
        <f t="shared" si="0"/>
        <v>0</v>
      </c>
      <c r="P18" s="213" t="b">
        <f>ISNUMBER(MATCH("TNT_"&amp;A18,TINTED!#REF!,0))</f>
        <v>0</v>
      </c>
      <c r="Q18" s="213" t="b">
        <f>ISNUMBER(MATCH("GLT_"&amp;A18,GLITTERED!#REF!,0))</f>
        <v>0</v>
      </c>
      <c r="R18" s="213" t="b">
        <f>ISNUMBER(MATCH("TNT_GLT_"&amp;A18,'TNT-GLT'!$B$1:$O$1,0))</f>
        <v>0</v>
      </c>
      <c r="S18" s="213" t="b">
        <f>ISNUMBER(MATCH("BC_"&amp;A18,BICOLOR!$B$1:$P$1,0))</f>
        <v>0</v>
      </c>
      <c r="T18" s="213" t="str">
        <f t="shared" si="3"/>
        <v>COL</v>
      </c>
      <c r="U18" s="214" t="str">
        <f t="shared" si="1"/>
        <v/>
      </c>
      <c r="V18" s="213" t="str">
        <f t="shared" si="4"/>
        <v>NO</v>
      </c>
      <c r="W18" s="197"/>
      <c r="X18" s="194" t="s">
        <v>364</v>
      </c>
      <c r="Y18" s="231" t="e">
        <f>+Y14+Y16+Y17</f>
        <v>#N/A</v>
      </c>
      <c r="AC18" s="266" t="s">
        <v>66</v>
      </c>
      <c r="AD18" s="30" t="s">
        <v>57</v>
      </c>
      <c r="AE18" s="234" t="e">
        <f>SUM(M:M)*VLOOKUP(AE17,LIST!$A$121:$C$126,3,FALSE)</f>
        <v>#N/A</v>
      </c>
      <c r="AF18" s="574">
        <v>0.1</v>
      </c>
      <c r="AG18" s="266">
        <v>6</v>
      </c>
      <c r="AH18" s="244" t="str">
        <f>IFERROR(VLOOKUP(AG18&amp;"-"&amp;$D$7,'CUST DATAB'!B:E,3,FALSE),"")</f>
        <v>TEXAS</v>
      </c>
      <c r="AI18" s="245" t="str">
        <f>IFERROR(VLOOKUP(AG18&amp;"-"&amp;$D$7,'CUST DATAB'!B:E,4,FALSE),"")</f>
        <v>IRVING TEXAS</v>
      </c>
      <c r="AJ18" s="246" t="str">
        <f>IFERROR(IF(VLOOKUP($AH18,$AC$13:$AF$35,4,FALSE)&lt;&gt;0,IF(AI18&lt;&gt;"",VLOOKUP(AI18,'CUST DATAB'!E:F,2,FALSE),""),""),"")</f>
        <v/>
      </c>
      <c r="AK18" s="246" t="str">
        <f t="shared" ref="AK18:AK54" si="8">IFERROR(IF(VLOOKUP($AH18,$AC$13:$AF$35,4,FALSE)&lt;&gt;0,IF(AI18&lt;&gt;"",AJ18*$Y$34,""),""),"")</f>
        <v/>
      </c>
      <c r="AL18" s="247" t="str">
        <f t="shared" si="7"/>
        <v/>
      </c>
      <c r="AM18" s="247" t="str">
        <f t="shared" ref="AM18:AM54" si="9">IFERROR(IF(VLOOKUP($AH18,$AC$13:$AF$35,4,FALSE)&lt;&gt;0,IF(AI18&lt;&gt;"",$AD$3+AL18,""),""),"")</f>
        <v/>
      </c>
      <c r="AN18" s="113"/>
    </row>
    <row r="19" spans="1:40" ht="15.75" customHeight="1" x14ac:dyDescent="0.3">
      <c r="A19" s="271" t="str">
        <f>IFERROR(VLOOKUP(C19,LIST!$A$3:$C$61,4,FALSE),"")</f>
        <v/>
      </c>
      <c r="B19" s="56"/>
      <c r="C19" s="57"/>
      <c r="D19" s="371"/>
      <c r="E19" s="371"/>
      <c r="F19" s="371"/>
      <c r="G19" s="114"/>
      <c r="H19" s="58"/>
      <c r="I19" s="192"/>
      <c r="J19" s="226">
        <f>IF(AND(T19&lt;&gt;"USA",U19&lt;&gt;"USA",V19="NO"),IFERROR((VLOOKUP(C19,FL_COST_COL,MATCH(VLOOKUP($D$6,LIST!$A$111:$B$116,2,FALSE),'FL COST'!$A$1:$G$1,0),FALSE)+IF(D19="Y",0.02,0)+IF(E19="Y",0.02,0)),0),IF(AND(T19&lt;&gt;"USA",U19&lt;&gt;"USA",V19="$"),"ERASE USA COST",IF(AND(T19&lt;&gt;"USA",U19="USA",V19="NO"),"SELECT USA",IF(AND(T19&lt;&gt;"USA",U19="USA",V19="$"),"SELECT USA",IF(AND(T19="USA",U19&lt;&gt;"USA",V19="NO"),"USA COST",IF(AND(T19="USA",U19&lt;&gt;"USA",V19="$"),I19,IF(AND(T19="USA",U19="USA",V19="NO"),"USA COST",IF(AND(T19="USA",U19="USA",V19="$"),I19,IF(C19="","")))))))))</f>
        <v>0</v>
      </c>
      <c r="K19" s="228">
        <f t="shared" si="2"/>
        <v>0</v>
      </c>
      <c r="L19" s="211" t="e">
        <f>IF(G19="USA",0,B19*1/VLOOKUP(C19,PACK!A:B,15,FALSE))</f>
        <v>#N/A</v>
      </c>
      <c r="M19" s="211" t="e">
        <f>B19*1/VLOOKUP(C19,PACK!A:B,15,FALSE)</f>
        <v>#N/A</v>
      </c>
      <c r="N19" s="209" t="e">
        <f>B19*1/VLOOKUP(C19,PACK!A:B,9,FALSE)</f>
        <v>#N/A</v>
      </c>
      <c r="O19" s="212">
        <f t="shared" si="0"/>
        <v>0</v>
      </c>
      <c r="P19" s="213" t="b">
        <f>ISNUMBER(MATCH("TNT_"&amp;A19,TINTED!#REF!,0))</f>
        <v>0</v>
      </c>
      <c r="Q19" s="213" t="b">
        <f>ISNUMBER(MATCH("GLT_"&amp;A19,GLITTERED!#REF!,0))</f>
        <v>0</v>
      </c>
      <c r="R19" s="213" t="b">
        <f>ISNUMBER(MATCH("TNT_GLT_"&amp;A19,'TNT-GLT'!$B$1:$O$1,0))</f>
        <v>0</v>
      </c>
      <c r="S19" s="213" t="b">
        <f>ISNUMBER(MATCH("BC_"&amp;A19,BICOLOR!$B$1:$P$1,0))</f>
        <v>0</v>
      </c>
      <c r="T19" s="213" t="str">
        <f t="shared" si="3"/>
        <v>COL</v>
      </c>
      <c r="U19" s="214" t="str">
        <f t="shared" si="1"/>
        <v/>
      </c>
      <c r="V19" s="213" t="str">
        <f t="shared" si="4"/>
        <v>NO</v>
      </c>
      <c r="W19" s="197"/>
      <c r="AC19" s="266"/>
      <c r="AD19" s="31" t="s">
        <v>59</v>
      </c>
      <c r="AE19" s="235">
        <f>VLOOKUP(AE17,LIST!$A$231:$F$236,MATCH($Y$3,LIST!$A$229:$F$229,1),FALSE)</f>
        <v>0.94</v>
      </c>
      <c r="AF19" s="575"/>
      <c r="AG19" s="266">
        <v>7</v>
      </c>
      <c r="AH19" s="244" t="str">
        <f>IFERROR(VLOOKUP(AG19&amp;"-"&amp;$D$7,'CUST DATAB'!B:E,3,FALSE),"")</f>
        <v>MIAMI</v>
      </c>
      <c r="AI19" s="245" t="str">
        <f>IFERROR(VLOOKUP(AG19&amp;"-"&amp;$D$7,'CUST DATAB'!B:E,4,FALSE),"")</f>
        <v>DAYTONA</v>
      </c>
      <c r="AJ19" s="246" t="str">
        <f>IFERROR(IF(VLOOKUP($AH19,$AC$13:$AF$35,4,FALSE)&lt;&gt;0,IF(AI19&lt;&gt;"",VLOOKUP(AI19,'CUST DATAB'!E:F,2,FALSE),""),""),"")</f>
        <v>TO BE DEFINE</v>
      </c>
      <c r="AK19" s="246" t="str">
        <f t="shared" si="8"/>
        <v/>
      </c>
      <c r="AL19" s="247" t="str">
        <f t="shared" si="7"/>
        <v/>
      </c>
      <c r="AM19" s="247" t="str">
        <f t="shared" si="9"/>
        <v/>
      </c>
      <c r="AN19" s="113"/>
    </row>
    <row r="20" spans="1:40" ht="15" thickBot="1" x14ac:dyDescent="0.35">
      <c r="A20" s="271" t="str">
        <f>IFERROR(VLOOKUP(C20,LIST!$A$3:$C$61,4,FALSE),"")</f>
        <v/>
      </c>
      <c r="B20" s="56"/>
      <c r="C20" s="57"/>
      <c r="D20" s="371"/>
      <c r="E20" s="371"/>
      <c r="F20" s="371"/>
      <c r="G20" s="114"/>
      <c r="H20" s="58"/>
      <c r="I20" s="192"/>
      <c r="J20" s="226">
        <f>IF(AND(T20&lt;&gt;"USA",U20&lt;&gt;"USA",V20="NO"),IFERROR((VLOOKUP(C20,FL_COST_COL,MATCH(VLOOKUP($D$6,LIST!$A$111:$B$116,2,FALSE),'FL COST'!$A$1:$G$1,0),FALSE)+IF(D20="Y",0.02,0)+IF(E20="Y",0.02,0)),0),IF(AND(T20&lt;&gt;"USA",U20&lt;&gt;"USA",V20="$"),"ERASE USA COST",IF(AND(T20&lt;&gt;"USA",U20="USA",V20="NO"),"SELECT USA",IF(AND(T20&lt;&gt;"USA",U20="USA",V20="$"),"SELECT USA",IF(AND(T20="USA",U20&lt;&gt;"USA",V20="NO"),"USA COST",IF(AND(T20="USA",U20&lt;&gt;"USA",V20="$"),I20,IF(AND(T20="USA",U20="USA",V20="NO"),"USA COST",IF(AND(T20="USA",U20="USA",V20="$"),I20,IF(C20="","")))))))))</f>
        <v>0</v>
      </c>
      <c r="K20" s="228">
        <f t="shared" si="2"/>
        <v>0</v>
      </c>
      <c r="L20" s="211" t="e">
        <f>IF(G20="USA",0,B20*1/VLOOKUP(C20,PACK!A:B,15,FALSE))</f>
        <v>#N/A</v>
      </c>
      <c r="M20" s="211" t="e">
        <f>B20*1/VLOOKUP(C20,PACK!A:B,15,FALSE)</f>
        <v>#N/A</v>
      </c>
      <c r="N20" s="209" t="e">
        <f>B20*1/VLOOKUP(C20,PACK!A:B,9,FALSE)</f>
        <v>#N/A</v>
      </c>
      <c r="O20" s="212">
        <f t="shared" si="0"/>
        <v>0</v>
      </c>
      <c r="P20" s="213" t="b">
        <f>ISNUMBER(MATCH("TNT_"&amp;A20,TINTED!#REF!,0))</f>
        <v>0</v>
      </c>
      <c r="Q20" s="213" t="b">
        <f>ISNUMBER(MATCH("GLT_"&amp;A20,GLITTERED!#REF!,0))</f>
        <v>0</v>
      </c>
      <c r="R20" s="213" t="b">
        <f>ISNUMBER(MATCH("TNT_GLT_"&amp;A20,'TNT-GLT'!$B$1:$O$1,0))</f>
        <v>0</v>
      </c>
      <c r="S20" s="213" t="b">
        <f>ISNUMBER(MATCH("BC_"&amp;A20,BICOLOR!$B$1:$P$1,0))</f>
        <v>0</v>
      </c>
      <c r="T20" s="213" t="str">
        <f t="shared" si="3"/>
        <v>COL</v>
      </c>
      <c r="U20" s="214" t="str">
        <f t="shared" si="1"/>
        <v/>
      </c>
      <c r="V20" s="213" t="str">
        <f t="shared" si="4"/>
        <v>NO</v>
      </c>
      <c r="W20" s="195">
        <v>0</v>
      </c>
      <c r="X20" s="188" t="s">
        <v>365</v>
      </c>
      <c r="Y20" s="188" t="s">
        <v>47</v>
      </c>
      <c r="Z20" s="188" t="s">
        <v>61</v>
      </c>
      <c r="AA20" s="188" t="s">
        <v>48</v>
      </c>
      <c r="AB20" s="190"/>
      <c r="AC20" s="266"/>
      <c r="AD20" s="32" t="s">
        <v>62</v>
      </c>
      <c r="AE20" s="236" t="e">
        <f>+$Y$14+SUM($AA$21:$AA$32)+AE18+AE19</f>
        <v>#N/A</v>
      </c>
      <c r="AF20" s="576"/>
      <c r="AG20" s="266">
        <v>8</v>
      </c>
      <c r="AH20" s="244" t="str">
        <f>IFERROR(VLOOKUP(AG20&amp;"-"&amp;$D$7,'CUST DATAB'!B:E,3,FALSE),"")</f>
        <v>NEW JERSEY</v>
      </c>
      <c r="AI20" s="245" t="str">
        <f>IFERROR(VLOOKUP(AG20&amp;"-"&amp;$D$7,'CUST DATAB'!B:E,4,FALSE),"")</f>
        <v>NAZARETH CROSS DOCK</v>
      </c>
      <c r="AJ20" s="246" t="str">
        <f>IFERROR(IF(VLOOKUP($AH20,$AC$13:$AF$35,4,FALSE)&lt;&gt;0,IF(AI20&lt;&gt;"",VLOOKUP(AI20,'CUST DATAB'!E:F,2,FALSE),""),""),"")</f>
        <v>TO BE DEFINE</v>
      </c>
      <c r="AK20" s="246" t="str">
        <f t="shared" si="8"/>
        <v/>
      </c>
      <c r="AL20" s="247" t="str">
        <f t="shared" si="7"/>
        <v/>
      </c>
      <c r="AM20" s="247" t="str">
        <f t="shared" si="9"/>
        <v/>
      </c>
      <c r="AN20" s="113"/>
    </row>
    <row r="21" spans="1:40" x14ac:dyDescent="0.3">
      <c r="A21" s="271" t="str">
        <f>IFERROR(VLOOKUP(C21,LIST!$A$3:$C$61,4,FALSE),"")</f>
        <v/>
      </c>
      <c r="B21" s="56"/>
      <c r="C21" s="57"/>
      <c r="D21" s="371"/>
      <c r="E21" s="371"/>
      <c r="F21" s="371"/>
      <c r="G21" s="114"/>
      <c r="H21" s="58"/>
      <c r="I21" s="192"/>
      <c r="J21" s="226">
        <f>IF(AND(T21&lt;&gt;"USA",U21&lt;&gt;"USA",V21="NO"),IFERROR((VLOOKUP(C21,FL_COST_COL,MATCH(VLOOKUP($D$6,LIST!$A$111:$B$116,2,FALSE),'FL COST'!$A$1:$G$1,0),FALSE)+IF(D21="Y",0.02,0)+IF(E21="Y",0.02,0)),0),IF(AND(T21&lt;&gt;"USA",U21&lt;&gt;"USA",V21="$"),"ERASE USA COST",IF(AND(T21&lt;&gt;"USA",U21="USA",V21="NO"),"SELECT USA",IF(AND(T21&lt;&gt;"USA",U21="USA",V21="$"),"SELECT USA",IF(AND(T21="USA",U21&lt;&gt;"USA",V21="NO"),"USA COST",IF(AND(T21="USA",U21&lt;&gt;"USA",V21="$"),I21,IF(AND(T21="USA",U21="USA",V21="NO"),"USA COST",IF(AND(T21="USA",U21="USA",V21="$"),I21,IF(C21="","")))))))))</f>
        <v>0</v>
      </c>
      <c r="K21" s="228">
        <f t="shared" si="2"/>
        <v>0</v>
      </c>
      <c r="L21" s="211" t="e">
        <f>IF(G21="USA",0,B21*1/VLOOKUP(C21,PACK!A:B,15,FALSE))</f>
        <v>#N/A</v>
      </c>
      <c r="M21" s="211" t="e">
        <f>B21*1/VLOOKUP(C21,PACK!A:B,15,FALSE)</f>
        <v>#N/A</v>
      </c>
      <c r="N21" s="209" t="e">
        <f>B21*1/VLOOKUP(C21,PACK!A:B,9,FALSE)</f>
        <v>#N/A</v>
      </c>
      <c r="O21" s="212">
        <f t="shared" si="0"/>
        <v>0</v>
      </c>
      <c r="P21" s="213" t="b">
        <f>ISNUMBER(MATCH("TNT_"&amp;A21,TINTED!#REF!,0))</f>
        <v>0</v>
      </c>
      <c r="Q21" s="213" t="b">
        <f>ISNUMBER(MATCH("GLT_"&amp;A21,GLITTERED!#REF!,0))</f>
        <v>0</v>
      </c>
      <c r="R21" s="213" t="b">
        <f>ISNUMBER(MATCH("TNT_GLT_"&amp;A21,'TNT-GLT'!$B$1:$O$1,0))</f>
        <v>0</v>
      </c>
      <c r="S21" s="213" t="b">
        <f>ISNUMBER(MATCH("BC_"&amp;A21,BICOLOR!$B$1:$P$1,0))</f>
        <v>0</v>
      </c>
      <c r="T21" s="213" t="str">
        <f t="shared" si="3"/>
        <v>COL</v>
      </c>
      <c r="U21" s="214" t="str">
        <f t="shared" si="1"/>
        <v/>
      </c>
      <c r="V21" s="213" t="str">
        <f t="shared" si="4"/>
        <v>NO</v>
      </c>
      <c r="W21" s="195">
        <f>IF(Z21="Y",MAX(W20)+1,"")</f>
        <v>1</v>
      </c>
      <c r="X21" s="198" t="s">
        <v>366</v>
      </c>
      <c r="Y21" s="199">
        <v>0.06</v>
      </c>
      <c r="Z21" s="56" t="s">
        <v>69</v>
      </c>
      <c r="AA21" s="237">
        <f>IF(Z21="Y",Y21,"")</f>
        <v>0.06</v>
      </c>
      <c r="AB21" s="190"/>
      <c r="AC21" s="266"/>
      <c r="AG21" s="266">
        <v>9</v>
      </c>
      <c r="AH21" s="244" t="str">
        <f>IFERROR(VLOOKUP(AG21&amp;"-"&amp;$D$7,'CUST DATAB'!B:E,3,FALSE),"")</f>
        <v>NEW JERSEY</v>
      </c>
      <c r="AI21" s="245" t="str">
        <f>IFERROR(VLOOKUP(AG21&amp;"-"&amp;$D$7,'CUST DATAB'!B:E,4,FALSE),"")</f>
        <v>MASSACHUSETTS</v>
      </c>
      <c r="AJ21" s="246">
        <f>IFERROR(IF(VLOOKUP($AH21,$AC$13:$AF$35,4,FALSE)&lt;&gt;0,IF(AI21&lt;&gt;"",VLOOKUP(AI21,'CUST DATAB'!E:F,2,FALSE),""),""),"")</f>
        <v>1.62</v>
      </c>
      <c r="AK21" s="246">
        <f t="shared" si="8"/>
        <v>5.6250000000000009</v>
      </c>
      <c r="AL21" s="247">
        <f t="shared" si="7"/>
        <v>0.46875000000000006</v>
      </c>
      <c r="AM21" s="247" t="str">
        <f t="shared" si="9"/>
        <v/>
      </c>
      <c r="AN21" s="113"/>
    </row>
    <row r="22" spans="1:40" ht="15" customHeight="1" thickBot="1" x14ac:dyDescent="0.35">
      <c r="A22" s="271" t="str">
        <f>IFERROR(VLOOKUP(C22,LIST!$A$3:$C$61,4,FALSE),"")</f>
        <v/>
      </c>
      <c r="B22" s="56"/>
      <c r="C22" s="57"/>
      <c r="D22" s="371"/>
      <c r="E22" s="371"/>
      <c r="F22" s="371"/>
      <c r="G22" s="114"/>
      <c r="H22" s="58"/>
      <c r="I22" s="192"/>
      <c r="J22" s="226">
        <f>IF(AND(T22&lt;&gt;"USA",U22&lt;&gt;"USA",V22="NO"),IFERROR((VLOOKUP(C22,FL_COST_COL,MATCH(VLOOKUP($D$6,LIST!$A$111:$B$116,2,FALSE),'FL COST'!$A$1:$G$1,0),FALSE)+IF(D22="Y",0.02,0)+IF(E22="Y",0.02,0)),0),IF(AND(T22&lt;&gt;"USA",U22&lt;&gt;"USA",V22="$"),"ERASE USA COST",IF(AND(T22&lt;&gt;"USA",U22="USA",V22="NO"),"SELECT USA",IF(AND(T22&lt;&gt;"USA",U22="USA",V22="$"),"SELECT USA",IF(AND(T22="USA",U22&lt;&gt;"USA",V22="NO"),"USA COST",IF(AND(T22="USA",U22&lt;&gt;"USA",V22="$"),I22,IF(AND(T22="USA",U22="USA",V22="NO"),"USA COST",IF(AND(T22="USA",U22="USA",V22="$"),I22,IF(C22="","")))))))))</f>
        <v>0</v>
      </c>
      <c r="K22" s="228">
        <f t="shared" si="2"/>
        <v>0</v>
      </c>
      <c r="L22" s="211" t="e">
        <f>IF(G22="USA",0,B22*1/VLOOKUP(C22,PACK!A:B,15,FALSE))</f>
        <v>#N/A</v>
      </c>
      <c r="M22" s="211" t="e">
        <f>B22*1/VLOOKUP(C22,PACK!A:B,15,FALSE)</f>
        <v>#N/A</v>
      </c>
      <c r="N22" s="209" t="e">
        <f>B22*1/VLOOKUP(C22,PACK!A:B,9,FALSE)</f>
        <v>#N/A</v>
      </c>
      <c r="O22" s="212">
        <f t="shared" si="0"/>
        <v>0</v>
      </c>
      <c r="P22" s="213" t="b">
        <f>ISNUMBER(MATCH("TNT_"&amp;A22,TINTED!#REF!,0))</f>
        <v>0</v>
      </c>
      <c r="Q22" s="213" t="b">
        <f>ISNUMBER(MATCH("GLT_"&amp;A22,GLITTERED!#REF!,0))</f>
        <v>0</v>
      </c>
      <c r="R22" s="213" t="b">
        <f>ISNUMBER(MATCH("TNT_GLT_"&amp;A22,'TNT-GLT'!$B$1:$O$1,0))</f>
        <v>0</v>
      </c>
      <c r="S22" s="213" t="b">
        <f>ISNUMBER(MATCH("BC_"&amp;A22,BICOLOR!$B$1:$P$1,0))</f>
        <v>0</v>
      </c>
      <c r="T22" s="213" t="str">
        <f t="shared" si="3"/>
        <v>COL</v>
      </c>
      <c r="U22" s="214" t="str">
        <f t="shared" si="1"/>
        <v/>
      </c>
      <c r="V22" s="213" t="str">
        <f t="shared" si="4"/>
        <v>NO</v>
      </c>
      <c r="W22" s="195" t="str">
        <f>IF(Z22="Y",MAX($W$20:W21)+1,"")</f>
        <v/>
      </c>
      <c r="X22" s="200" t="s">
        <v>367</v>
      </c>
      <c r="Y22" s="40">
        <v>0.08</v>
      </c>
      <c r="Z22" s="56"/>
      <c r="AA22" s="238" t="str">
        <f t="shared" ref="AA22:AA30" si="10">IF(Z22="Y",Y22,"")</f>
        <v/>
      </c>
      <c r="AB22" s="190"/>
      <c r="AC22" s="266"/>
      <c r="AD22" s="39" t="s">
        <v>75</v>
      </c>
      <c r="AE22" s="195" t="s">
        <v>76</v>
      </c>
      <c r="AF22" s="188" t="s">
        <v>54</v>
      </c>
      <c r="AG22" s="266">
        <v>10</v>
      </c>
      <c r="AH22" s="244" t="str">
        <f>IFERROR(VLOOKUP(AG22&amp;"-"&amp;$D$7,'CUST DATAB'!B:E,3,FALSE),"")</f>
        <v/>
      </c>
      <c r="AI22" s="245" t="str">
        <f>IFERROR(VLOOKUP(AG22&amp;"-"&amp;$D$7,'CUST DATAB'!B:E,4,FALSE),"")</f>
        <v/>
      </c>
      <c r="AJ22" s="246" t="str">
        <f>IFERROR(IF(VLOOKUP($AH22,$AC$13:$AF$35,4,FALSE)&lt;&gt;0,IF(AI22&lt;&gt;"",VLOOKUP(AI22,'CUST DATAB'!E:F,2,FALSE),""),""),"")</f>
        <v/>
      </c>
      <c r="AK22" s="246" t="str">
        <f t="shared" si="8"/>
        <v/>
      </c>
      <c r="AL22" s="247" t="str">
        <f t="shared" si="7"/>
        <v/>
      </c>
      <c r="AM22" s="247" t="str">
        <f t="shared" si="9"/>
        <v/>
      </c>
      <c r="AN22" s="113"/>
    </row>
    <row r="23" spans="1:40" ht="15" customHeight="1" x14ac:dyDescent="0.3">
      <c r="A23" s="271" t="str">
        <f>IFERROR(VLOOKUP(C23,LIST!$A$3:$C$61,4,FALSE),"")</f>
        <v/>
      </c>
      <c r="B23" s="56"/>
      <c r="C23" s="57"/>
      <c r="D23" s="371"/>
      <c r="E23" s="371"/>
      <c r="F23" s="371"/>
      <c r="G23" s="114"/>
      <c r="H23" s="58"/>
      <c r="I23" s="192"/>
      <c r="J23" s="226">
        <f>IF(AND(T23&lt;&gt;"USA",U23&lt;&gt;"USA",V23="NO"),IFERROR((VLOOKUP(C23,FL_COST_COL,MATCH(VLOOKUP($D$6,LIST!$A$111:$B$116,2,FALSE),'FL COST'!$A$1:$G$1,0),FALSE)+IF(D23="Y",0.02,0)+IF(E23="Y",0.02,0)),0),IF(AND(T23&lt;&gt;"USA",U23&lt;&gt;"USA",V23="$"),"ERASE USA COST",IF(AND(T23&lt;&gt;"USA",U23="USA",V23="NO"),"SELECT USA",IF(AND(T23&lt;&gt;"USA",U23="USA",V23="$"),"SELECT USA",IF(AND(T23="USA",U23&lt;&gt;"USA",V23="NO"),"USA COST",IF(AND(T23="USA",U23&lt;&gt;"USA",V23="$"),I23,IF(AND(T23="USA",U23="USA",V23="NO"),"USA COST",IF(AND(T23="USA",U23="USA",V23="$"),I23,IF(C23="","")))))))))</f>
        <v>0</v>
      </c>
      <c r="K23" s="228">
        <f t="shared" si="2"/>
        <v>0</v>
      </c>
      <c r="L23" s="211" t="e">
        <f>IF(G23="USA",0,B23*1/VLOOKUP(C23,PACK!A:B,15,FALSE))</f>
        <v>#N/A</v>
      </c>
      <c r="M23" s="211" t="e">
        <f>B23*1/VLOOKUP(C23,PACK!A:B,15,FALSE)</f>
        <v>#N/A</v>
      </c>
      <c r="N23" s="209" t="e">
        <f>B23*1/VLOOKUP(C23,PACK!A:B,9,FALSE)</f>
        <v>#N/A</v>
      </c>
      <c r="O23" s="212">
        <f t="shared" si="0"/>
        <v>0</v>
      </c>
      <c r="P23" s="213" t="b">
        <f>ISNUMBER(MATCH("TNT_"&amp;A23,TINTED!#REF!,0))</f>
        <v>0</v>
      </c>
      <c r="Q23" s="213" t="b">
        <f>ISNUMBER(MATCH("GLT_"&amp;A23,GLITTERED!#REF!,0))</f>
        <v>0</v>
      </c>
      <c r="R23" s="213" t="b">
        <f>ISNUMBER(MATCH("TNT_GLT_"&amp;A23,'TNT-GLT'!$B$1:$O$1,0))</f>
        <v>0</v>
      </c>
      <c r="S23" s="213" t="b">
        <f>ISNUMBER(MATCH("BC_"&amp;A23,BICOLOR!$B$1:$P$1,0))</f>
        <v>0</v>
      </c>
      <c r="T23" s="213" t="str">
        <f t="shared" si="3"/>
        <v>COL</v>
      </c>
      <c r="U23" s="214" t="str">
        <f t="shared" si="1"/>
        <v/>
      </c>
      <c r="V23" s="213" t="str">
        <f t="shared" si="4"/>
        <v>NO</v>
      </c>
      <c r="W23" s="195" t="str">
        <f>IF(Z23="Y",MAX($W$20:W22)+1,"")</f>
        <v/>
      </c>
      <c r="X23" s="200" t="s">
        <v>368</v>
      </c>
      <c r="Y23" s="40">
        <v>5.3999999999999999E-2</v>
      </c>
      <c r="Z23" s="56"/>
      <c r="AA23" s="238" t="str">
        <f t="shared" si="10"/>
        <v/>
      </c>
      <c r="AB23" s="190"/>
      <c r="AC23" s="266" t="s">
        <v>75</v>
      </c>
      <c r="AD23" s="30" t="s">
        <v>57</v>
      </c>
      <c r="AE23" s="234" t="e">
        <f>SUM(M:M)*VLOOKUP(AE22,LIST!$A$121:$C$126,3,FALSE)</f>
        <v>#N/A</v>
      </c>
      <c r="AF23" s="574">
        <v>0.1</v>
      </c>
      <c r="AG23" s="266">
        <v>11</v>
      </c>
      <c r="AH23" s="244" t="str">
        <f>IFERROR(VLOOKUP(AG23&amp;"-"&amp;$D$7,'CUST DATAB'!B:E,3,FALSE),"")</f>
        <v/>
      </c>
      <c r="AI23" s="248" t="str">
        <f>IFERROR(VLOOKUP(AG23&amp;"-"&amp;$D$7,'CUST DATAB'!B:E,4,FALSE),"")</f>
        <v/>
      </c>
      <c r="AJ23" s="246" t="str">
        <f>IFERROR(IF(VLOOKUP($AH23,$AC$13:$AF$35,4,FALSE)&lt;&gt;0,IF(AI23&lt;&gt;"",VLOOKUP(AI23,'CUST DATAB'!E:F,2,FALSE),""),""),"")</f>
        <v/>
      </c>
      <c r="AK23" s="246" t="str">
        <f t="shared" si="8"/>
        <v/>
      </c>
      <c r="AL23" s="247" t="str">
        <f t="shared" si="7"/>
        <v/>
      </c>
      <c r="AM23" s="247" t="str">
        <f t="shared" si="9"/>
        <v/>
      </c>
      <c r="AN23" s="113"/>
    </row>
    <row r="24" spans="1:40" ht="15.75" customHeight="1" x14ac:dyDescent="0.3">
      <c r="A24" s="271" t="str">
        <f>IFERROR(VLOOKUP(C24,LIST!$A$3:$C$61,4,FALSE),"")</f>
        <v/>
      </c>
      <c r="B24" s="56"/>
      <c r="C24" s="57"/>
      <c r="D24" s="371"/>
      <c r="E24" s="371"/>
      <c r="F24" s="371"/>
      <c r="G24" s="114"/>
      <c r="H24" s="58"/>
      <c r="I24" s="192"/>
      <c r="J24" s="226">
        <f>IF(AND(T24&lt;&gt;"USA",U24&lt;&gt;"USA",V24="NO"),IFERROR((VLOOKUP(C24,FL_COST_COL,MATCH(VLOOKUP($D$6,LIST!$A$111:$B$116,2,FALSE),'FL COST'!$A$1:$G$1,0),FALSE)+IF(D24="Y",0.02,0)+IF(E24="Y",0.02,0)),0),IF(AND(T24&lt;&gt;"USA",U24&lt;&gt;"USA",V24="$"),"ERASE USA COST",IF(AND(T24&lt;&gt;"USA",U24="USA",V24="NO"),"SELECT USA",IF(AND(T24&lt;&gt;"USA",U24="USA",V24="$"),"SELECT USA",IF(AND(T24="USA",U24&lt;&gt;"USA",V24="NO"),"USA COST",IF(AND(T24="USA",U24&lt;&gt;"USA",V24="$"),I24,IF(AND(T24="USA",U24="USA",V24="NO"),"USA COST",IF(AND(T24="USA",U24="USA",V24="$"),I24,IF(C24="","")))))))))</f>
        <v>0</v>
      </c>
      <c r="K24" s="228">
        <f t="shared" si="2"/>
        <v>0</v>
      </c>
      <c r="L24" s="211" t="e">
        <f>IF(G24="USA",0,B24*1/VLOOKUP(C24,PACK!A:B,15,FALSE))</f>
        <v>#N/A</v>
      </c>
      <c r="M24" s="211" t="e">
        <f>B24*1/VLOOKUP(C24,PACK!A:B,15,FALSE)</f>
        <v>#N/A</v>
      </c>
      <c r="N24" s="209" t="e">
        <f>B24*1/VLOOKUP(C24,PACK!A:B,9,FALSE)</f>
        <v>#N/A</v>
      </c>
      <c r="O24" s="212">
        <f t="shared" si="0"/>
        <v>0</v>
      </c>
      <c r="P24" s="213" t="b">
        <f>ISNUMBER(MATCH("TNT_"&amp;A24,TINTED!#REF!,0))</f>
        <v>0</v>
      </c>
      <c r="Q24" s="213" t="b">
        <f>ISNUMBER(MATCH("GLT_"&amp;A24,GLITTERED!#REF!,0))</f>
        <v>0</v>
      </c>
      <c r="R24" s="213" t="b">
        <f>ISNUMBER(MATCH("TNT_GLT_"&amp;A24,'TNT-GLT'!$B$1:$O$1,0))</f>
        <v>0</v>
      </c>
      <c r="S24" s="213" t="b">
        <f>ISNUMBER(MATCH("BC_"&amp;A24,BICOLOR!$B$1:$P$1,0))</f>
        <v>0</v>
      </c>
      <c r="T24" s="213" t="str">
        <f t="shared" si="3"/>
        <v>COL</v>
      </c>
      <c r="U24" s="214" t="str">
        <f t="shared" si="1"/>
        <v/>
      </c>
      <c r="V24" s="213" t="str">
        <f t="shared" si="4"/>
        <v>NO</v>
      </c>
      <c r="W24" s="195" t="str">
        <f>IF(Z24="Y",MAX($W$20:W23)+1,"")</f>
        <v/>
      </c>
      <c r="X24" s="200" t="s">
        <v>70</v>
      </c>
      <c r="Y24" s="40">
        <v>0.01</v>
      </c>
      <c r="Z24" s="56"/>
      <c r="AA24" s="238" t="str">
        <f t="shared" si="10"/>
        <v/>
      </c>
      <c r="AB24" s="190"/>
      <c r="AC24" s="266"/>
      <c r="AD24" s="31" t="s">
        <v>59</v>
      </c>
      <c r="AE24" s="235">
        <f>VLOOKUP(AE22,LIST!$A$231:$F$236,MATCH($Y$3,LIST!$A$229:$F$229,1),FALSE)</f>
        <v>0.94</v>
      </c>
      <c r="AF24" s="575"/>
      <c r="AG24" s="266">
        <v>12</v>
      </c>
      <c r="AH24" s="244" t="str">
        <f>IFERROR(VLOOKUP(AG24&amp;"-"&amp;$D$7,'CUST DATAB'!B:E,3,FALSE),"")</f>
        <v/>
      </c>
      <c r="AI24" s="248" t="str">
        <f>IFERROR(VLOOKUP(AG24&amp;"-"&amp;$D$7,'CUST DATAB'!B:E,4,FALSE),"")</f>
        <v/>
      </c>
      <c r="AJ24" s="246" t="str">
        <f>IFERROR(IF(VLOOKUP($AH24,$AC$13:$AF$35,4,FALSE)&lt;&gt;0,IF(AI24&lt;&gt;"",VLOOKUP(AI24,'CUST DATAB'!E:F,2,FALSE),""),""),"")</f>
        <v/>
      </c>
      <c r="AK24" s="246" t="str">
        <f t="shared" si="8"/>
        <v/>
      </c>
      <c r="AL24" s="247" t="str">
        <f t="shared" si="7"/>
        <v/>
      </c>
      <c r="AM24" s="247" t="str">
        <f t="shared" si="9"/>
        <v/>
      </c>
      <c r="AN24" s="113"/>
    </row>
    <row r="25" spans="1:40" ht="15" thickBot="1" x14ac:dyDescent="0.35">
      <c r="A25" s="271" t="str">
        <f>IFERROR(VLOOKUP(C25,LIST!$A$3:$C$61,4,FALSE),"")</f>
        <v/>
      </c>
      <c r="B25" s="56"/>
      <c r="C25" s="57"/>
      <c r="D25" s="371"/>
      <c r="E25" s="371"/>
      <c r="F25" s="371"/>
      <c r="G25" s="114"/>
      <c r="H25" s="58"/>
      <c r="I25" s="192"/>
      <c r="J25" s="226">
        <f>IF(AND(T25&lt;&gt;"USA",U25&lt;&gt;"USA",V25="NO"),IFERROR((VLOOKUP(C25,FL_COST_COL,MATCH(VLOOKUP($D$6,LIST!$A$111:$B$116,2,FALSE),'FL COST'!$A$1:$G$1,0),FALSE)+IF(D25="Y",0.02,0)+IF(E25="Y",0.02,0)),0),IF(AND(T25&lt;&gt;"USA",U25&lt;&gt;"USA",V25="$"),"ERASE USA COST",IF(AND(T25&lt;&gt;"USA",U25="USA",V25="NO"),"SELECT USA",IF(AND(T25&lt;&gt;"USA",U25="USA",V25="$"),"SELECT USA",IF(AND(T25="USA",U25&lt;&gt;"USA",V25="NO"),"USA COST",IF(AND(T25="USA",U25&lt;&gt;"USA",V25="$"),I25,IF(AND(T25="USA",U25="USA",V25="NO"),"USA COST",IF(AND(T25="USA",U25="USA",V25="$"),I25,IF(C25="","")))))))))</f>
        <v>0</v>
      </c>
      <c r="K25" s="228">
        <f t="shared" si="2"/>
        <v>0</v>
      </c>
      <c r="L25" s="211" t="e">
        <f>IF(G25="USA",0,B25*1/VLOOKUP(C25,PACK!A:B,15,FALSE))</f>
        <v>#N/A</v>
      </c>
      <c r="M25" s="211" t="e">
        <f>B25*1/VLOOKUP(C25,PACK!A:B,15,FALSE)</f>
        <v>#N/A</v>
      </c>
      <c r="N25" s="209" t="e">
        <f>B25*1/VLOOKUP(C25,PACK!A:B,9,FALSE)</f>
        <v>#N/A</v>
      </c>
      <c r="O25" s="212">
        <f t="shared" si="0"/>
        <v>0</v>
      </c>
      <c r="P25" s="213" t="b">
        <f>ISNUMBER(MATCH("TNT_"&amp;A25,TINTED!#REF!,0))</f>
        <v>0</v>
      </c>
      <c r="Q25" s="213" t="b">
        <f>ISNUMBER(MATCH("GLT_"&amp;A25,GLITTERED!#REF!,0))</f>
        <v>0</v>
      </c>
      <c r="R25" s="213" t="b">
        <f>ISNUMBER(MATCH("TNT_GLT_"&amp;A25,'TNT-GLT'!$B$1:$O$1,0))</f>
        <v>0</v>
      </c>
      <c r="S25" s="213" t="b">
        <f>ISNUMBER(MATCH("BC_"&amp;A25,BICOLOR!$B$1:$P$1,0))</f>
        <v>0</v>
      </c>
      <c r="T25" s="213" t="str">
        <f t="shared" si="3"/>
        <v>COL</v>
      </c>
      <c r="U25" s="214" t="str">
        <f t="shared" si="1"/>
        <v/>
      </c>
      <c r="V25" s="213" t="str">
        <f t="shared" si="4"/>
        <v>NO</v>
      </c>
      <c r="W25" s="195" t="str">
        <f>IF(Z25="Y",MAX($W$20:W24)+1,"")</f>
        <v/>
      </c>
      <c r="X25" s="200" t="s">
        <v>369</v>
      </c>
      <c r="Y25" s="40">
        <v>1</v>
      </c>
      <c r="Z25" s="56"/>
      <c r="AA25" s="238" t="str">
        <f t="shared" si="10"/>
        <v/>
      </c>
      <c r="AB25" s="190"/>
      <c r="AC25" s="266"/>
      <c r="AD25" s="32" t="s">
        <v>62</v>
      </c>
      <c r="AE25" s="236" t="e">
        <f>+$Y$14+SUM($AA$21:$AA$32)+AE23+AE24</f>
        <v>#N/A</v>
      </c>
      <c r="AF25" s="576"/>
      <c r="AG25" s="266">
        <v>13</v>
      </c>
      <c r="AH25" s="244" t="str">
        <f>IFERROR(VLOOKUP(AG25&amp;"-"&amp;$D$7,'CUST DATAB'!B:E,3,FALSE),"")</f>
        <v/>
      </c>
      <c r="AI25" s="248" t="str">
        <f>IFERROR(VLOOKUP(AG25&amp;"-"&amp;$D$7,'CUST DATAB'!B:E,4,FALSE),"")</f>
        <v/>
      </c>
      <c r="AJ25" s="246" t="str">
        <f>IFERROR(IF(VLOOKUP($AH25,$AC$13:$AF$35,4,FALSE)&lt;&gt;0,IF(AI25&lt;&gt;"",VLOOKUP(AI25,'CUST DATAB'!E:F,2,FALSE),""),""),"")</f>
        <v/>
      </c>
      <c r="AK25" s="246" t="str">
        <f t="shared" si="8"/>
        <v/>
      </c>
      <c r="AL25" s="247" t="str">
        <f t="shared" si="7"/>
        <v/>
      </c>
      <c r="AM25" s="247" t="str">
        <f t="shared" si="9"/>
        <v/>
      </c>
      <c r="AN25" s="113"/>
    </row>
    <row r="26" spans="1:40" x14ac:dyDescent="0.3">
      <c r="A26" s="271" t="str">
        <f>IFERROR(VLOOKUP(C26,LIST!$A$3:$C$61,4,FALSE),"")</f>
        <v/>
      </c>
      <c r="B26" s="56"/>
      <c r="C26" s="57"/>
      <c r="D26" s="371"/>
      <c r="E26" s="371"/>
      <c r="F26" s="371"/>
      <c r="G26" s="114"/>
      <c r="H26" s="58"/>
      <c r="I26" s="192"/>
      <c r="J26" s="226">
        <f>IF(AND(T26&lt;&gt;"USA",U26&lt;&gt;"USA",V26="NO"),IFERROR((VLOOKUP(C26,FL_COST_COL,MATCH(VLOOKUP($D$6,LIST!$A$111:$B$116,2,FALSE),'FL COST'!$A$1:$G$1,0),FALSE)+IF(D26="Y",0.02,0)+IF(E26="Y",0.02,0)),0),IF(AND(T26&lt;&gt;"USA",U26&lt;&gt;"USA",V26="$"),"ERASE USA COST",IF(AND(T26&lt;&gt;"USA",U26="USA",V26="NO"),"SELECT USA",IF(AND(T26&lt;&gt;"USA",U26="USA",V26="$"),"SELECT USA",IF(AND(T26="USA",U26&lt;&gt;"USA",V26="NO"),"USA COST",IF(AND(T26="USA",U26&lt;&gt;"USA",V26="$"),I26,IF(AND(T26="USA",U26="USA",V26="NO"),"USA COST",IF(AND(T26="USA",U26="USA",V26="$"),I26,IF(C26="","")))))))))</f>
        <v>0</v>
      </c>
      <c r="K26" s="228">
        <f t="shared" si="2"/>
        <v>0</v>
      </c>
      <c r="L26" s="211" t="e">
        <f>IF(G26="USA",0,B26*1/VLOOKUP(C26,PACK!A:B,15,FALSE))</f>
        <v>#N/A</v>
      </c>
      <c r="M26" s="211" t="e">
        <f>B26*1/VLOOKUP(C26,PACK!A:B,15,FALSE)</f>
        <v>#N/A</v>
      </c>
      <c r="N26" s="209" t="e">
        <f>B26*1/VLOOKUP(C26,PACK!A:B,9,FALSE)</f>
        <v>#N/A</v>
      </c>
      <c r="O26" s="212">
        <f t="shared" si="0"/>
        <v>0</v>
      </c>
      <c r="P26" s="213" t="b">
        <f>ISNUMBER(MATCH("TNT_"&amp;A26,TINTED!#REF!,0))</f>
        <v>0</v>
      </c>
      <c r="Q26" s="213" t="b">
        <f>ISNUMBER(MATCH("GLT_"&amp;A26,GLITTERED!#REF!,0))</f>
        <v>0</v>
      </c>
      <c r="R26" s="213" t="b">
        <f>ISNUMBER(MATCH("TNT_GLT_"&amp;A26,'TNT-GLT'!$B$1:$O$1,0))</f>
        <v>0</v>
      </c>
      <c r="S26" s="213" t="b">
        <f>ISNUMBER(MATCH("BC_"&amp;A26,BICOLOR!$B$1:$P$1,0))</f>
        <v>0</v>
      </c>
      <c r="T26" s="213" t="str">
        <f t="shared" si="3"/>
        <v>COL</v>
      </c>
      <c r="U26" s="214" t="str">
        <f t="shared" si="1"/>
        <v/>
      </c>
      <c r="V26" s="213" t="str">
        <f t="shared" si="4"/>
        <v>NO</v>
      </c>
      <c r="W26" s="195" t="str">
        <f>IF(Z26="Y",MAX($W$20:W25)+1,"")</f>
        <v/>
      </c>
      <c r="X26" s="200" t="s">
        <v>370</v>
      </c>
      <c r="Y26" s="40">
        <v>0.1</v>
      </c>
      <c r="Z26" s="56"/>
      <c r="AA26" s="238" t="str">
        <f t="shared" si="10"/>
        <v/>
      </c>
      <c r="AB26" s="190"/>
      <c r="AC26" s="266"/>
      <c r="AG26" s="266">
        <v>14</v>
      </c>
      <c r="AH26" s="244" t="str">
        <f>IFERROR(VLOOKUP(AG26&amp;"-"&amp;$D$7,'CUST DATAB'!B:E,3,FALSE),"")</f>
        <v/>
      </c>
      <c r="AI26" s="248" t="str">
        <f>IFERROR(VLOOKUP(AG26&amp;"-"&amp;$D$7,'CUST DATAB'!B:E,4,FALSE),"")</f>
        <v/>
      </c>
      <c r="AJ26" s="246" t="str">
        <f>IFERROR(IF(VLOOKUP($AH26,$AC$13:$AF$35,4,FALSE)&lt;&gt;0,IF(AI26&lt;&gt;"",VLOOKUP(AI26,'CUST DATAB'!E:F,2,FALSE),""),""),"")</f>
        <v/>
      </c>
      <c r="AK26" s="246" t="str">
        <f t="shared" si="8"/>
        <v/>
      </c>
      <c r="AL26" s="247" t="str">
        <f t="shared" si="7"/>
        <v/>
      </c>
      <c r="AM26" s="247" t="str">
        <f t="shared" si="9"/>
        <v/>
      </c>
      <c r="AN26" s="113"/>
    </row>
    <row r="27" spans="1:40" ht="15" customHeight="1" thickBot="1" x14ac:dyDescent="0.35">
      <c r="A27" s="271" t="str">
        <f>IFERROR(VLOOKUP(C27,LIST!$A$3:$C$61,4,FALSE),"")</f>
        <v/>
      </c>
      <c r="B27" s="56"/>
      <c r="C27" s="57"/>
      <c r="D27" s="371"/>
      <c r="E27" s="371"/>
      <c r="F27" s="371"/>
      <c r="G27" s="114"/>
      <c r="H27" s="58"/>
      <c r="I27" s="192"/>
      <c r="J27" s="226">
        <f>IF(AND(T27&lt;&gt;"USA",U27&lt;&gt;"USA",V27="NO"),IFERROR((VLOOKUP(C27,FL_COST_COL,MATCH(VLOOKUP($D$6,LIST!$A$111:$B$116,2,FALSE),'FL COST'!$A$1:$G$1,0),FALSE)+IF(D27="Y",0.02,0)+IF(E27="Y",0.02,0)),0),IF(AND(T27&lt;&gt;"USA",U27&lt;&gt;"USA",V27="$"),"ERASE USA COST",IF(AND(T27&lt;&gt;"USA",U27="USA",V27="NO"),"SELECT USA",IF(AND(T27&lt;&gt;"USA",U27="USA",V27="$"),"SELECT USA",IF(AND(T27="USA",U27&lt;&gt;"USA",V27="NO"),"USA COST",IF(AND(T27="USA",U27&lt;&gt;"USA",V27="$"),I27,IF(AND(T27="USA",U27="USA",V27="NO"),"USA COST",IF(AND(T27="USA",U27="USA",V27="$"),I27,IF(C27="","")))))))))</f>
        <v>0</v>
      </c>
      <c r="K27" s="228">
        <f t="shared" si="2"/>
        <v>0</v>
      </c>
      <c r="L27" s="211" t="e">
        <f>IF(G27="USA",0,B27*1/VLOOKUP(C27,PACK!A:B,15,FALSE))</f>
        <v>#N/A</v>
      </c>
      <c r="M27" s="211" t="e">
        <f>B27*1/VLOOKUP(C27,PACK!A:B,15,FALSE)</f>
        <v>#N/A</v>
      </c>
      <c r="N27" s="209" t="e">
        <f>B27*1/VLOOKUP(C27,PACK!A:B,9,FALSE)</f>
        <v>#N/A</v>
      </c>
      <c r="O27" s="212">
        <f t="shared" si="0"/>
        <v>0</v>
      </c>
      <c r="P27" s="213" t="b">
        <f>ISNUMBER(MATCH("TNT_"&amp;A27,TINTED!#REF!,0))</f>
        <v>0</v>
      </c>
      <c r="Q27" s="213" t="b">
        <f>ISNUMBER(MATCH("GLT_"&amp;A27,GLITTERED!#REF!,0))</f>
        <v>0</v>
      </c>
      <c r="R27" s="213" t="b">
        <f>ISNUMBER(MATCH("TNT_GLT_"&amp;A27,'TNT-GLT'!$B$1:$O$1,0))</f>
        <v>0</v>
      </c>
      <c r="S27" s="213" t="b">
        <f>ISNUMBER(MATCH("BC_"&amp;A27,BICOLOR!$B$1:$P$1,0))</f>
        <v>0</v>
      </c>
      <c r="T27" s="213" t="str">
        <f t="shared" si="3"/>
        <v>COL</v>
      </c>
      <c r="U27" s="214" t="str">
        <f t="shared" si="1"/>
        <v/>
      </c>
      <c r="V27" s="213" t="str">
        <f t="shared" si="4"/>
        <v>NO</v>
      </c>
      <c r="W27" s="195" t="str">
        <f>IF(Z27="Y",MAX($W$20:W26)+1,"")</f>
        <v/>
      </c>
      <c r="X27" s="200" t="s">
        <v>371</v>
      </c>
      <c r="Y27" s="40">
        <v>0.15</v>
      </c>
      <c r="Z27" s="56"/>
      <c r="AA27" s="238" t="str">
        <f t="shared" si="10"/>
        <v/>
      </c>
      <c r="AB27" s="190"/>
      <c r="AC27" s="266"/>
      <c r="AD27" s="39" t="s">
        <v>82</v>
      </c>
      <c r="AE27" s="195" t="s">
        <v>83</v>
      </c>
      <c r="AF27" s="188" t="s">
        <v>54</v>
      </c>
      <c r="AG27" s="266">
        <v>15</v>
      </c>
      <c r="AH27" s="244" t="str">
        <f>IFERROR(VLOOKUP(AG27&amp;"-"&amp;$D$7,'CUST DATAB'!B:E,3,FALSE),"")</f>
        <v/>
      </c>
      <c r="AI27" s="248" t="str">
        <f>IFERROR(VLOOKUP(AG27&amp;"-"&amp;$D$7,'CUST DATAB'!B:E,4,FALSE),"")</f>
        <v/>
      </c>
      <c r="AJ27" s="246" t="str">
        <f>IFERROR(IF(VLOOKUP($AH27,$AC$13:$AF$35,4,FALSE)&lt;&gt;0,IF(AI27&lt;&gt;"",VLOOKUP(AI27,'CUST DATAB'!E:F,2,FALSE),""),""),"")</f>
        <v/>
      </c>
      <c r="AK27" s="246" t="str">
        <f t="shared" si="8"/>
        <v/>
      </c>
      <c r="AL27" s="247" t="str">
        <f t="shared" si="7"/>
        <v/>
      </c>
      <c r="AM27" s="247" t="str">
        <f t="shared" si="9"/>
        <v/>
      </c>
      <c r="AN27" s="113"/>
    </row>
    <row r="28" spans="1:40" ht="15.75" customHeight="1" x14ac:dyDescent="0.3">
      <c r="A28" s="271" t="str">
        <f>IFERROR(VLOOKUP(C28,LIST!$A$3:$C$61,4,FALSE),"")</f>
        <v/>
      </c>
      <c r="B28" s="56"/>
      <c r="C28" s="57"/>
      <c r="D28" s="371"/>
      <c r="E28" s="371"/>
      <c r="F28" s="371"/>
      <c r="G28" s="114"/>
      <c r="H28" s="58"/>
      <c r="I28" s="192"/>
      <c r="J28" s="226">
        <f>IF(AND(T28&lt;&gt;"USA",U28&lt;&gt;"USA",V28="NO"),IFERROR((VLOOKUP(C28,FL_COST_COL,MATCH(VLOOKUP($D$6,LIST!$A$111:$B$116,2,FALSE),'FL COST'!$A$1:$G$1,0),FALSE)+IF(D28="Y",0.02,0)+IF(E28="Y",0.02,0)),0),IF(AND(T28&lt;&gt;"USA",U28&lt;&gt;"USA",V28="$"),"ERASE USA COST",IF(AND(T28&lt;&gt;"USA",U28="USA",V28="NO"),"SELECT USA",IF(AND(T28&lt;&gt;"USA",U28="USA",V28="$"),"SELECT USA",IF(AND(T28="USA",U28&lt;&gt;"USA",V28="NO"),"USA COST",IF(AND(T28="USA",U28&lt;&gt;"USA",V28="$"),I28,IF(AND(T28="USA",U28="USA",V28="NO"),"USA COST",IF(AND(T28="USA",U28="USA",V28="$"),I28,IF(C28="","")))))))))</f>
        <v>0</v>
      </c>
      <c r="K28" s="228">
        <f t="shared" si="2"/>
        <v>0</v>
      </c>
      <c r="L28" s="211" t="e">
        <f>IF(G28="USA",0,B28*1/VLOOKUP(C28,PACK!A:B,15,FALSE))</f>
        <v>#N/A</v>
      </c>
      <c r="M28" s="211" t="e">
        <f>B28*1/VLOOKUP(C28,PACK!A:B,15,FALSE)</f>
        <v>#N/A</v>
      </c>
      <c r="N28" s="209" t="e">
        <f>B28*1/VLOOKUP(C28,PACK!A:B,9,FALSE)</f>
        <v>#N/A</v>
      </c>
      <c r="O28" s="212">
        <f t="shared" si="0"/>
        <v>0</v>
      </c>
      <c r="P28" s="213" t="b">
        <f>ISNUMBER(MATCH("TNT_"&amp;A28,TINTED!#REF!,0))</f>
        <v>0</v>
      </c>
      <c r="Q28" s="213" t="b">
        <f>ISNUMBER(MATCH("GLT_"&amp;A28,GLITTERED!#REF!,0))</f>
        <v>0</v>
      </c>
      <c r="R28" s="213" t="b">
        <f>ISNUMBER(MATCH("TNT_GLT_"&amp;A28,'TNT-GLT'!$B$1:$O$1,0))</f>
        <v>0</v>
      </c>
      <c r="S28" s="213" t="b">
        <f>ISNUMBER(MATCH("BC_"&amp;A28,BICOLOR!$B$1:$P$1,0))</f>
        <v>0</v>
      </c>
      <c r="T28" s="213" t="str">
        <f t="shared" si="3"/>
        <v>COL</v>
      </c>
      <c r="U28" s="214" t="str">
        <f t="shared" si="1"/>
        <v/>
      </c>
      <c r="V28" s="213" t="str">
        <f t="shared" si="4"/>
        <v>NO</v>
      </c>
      <c r="W28" s="195" t="str">
        <f>IF(Z28="Y",MAX($W$20:W27)+1,"")</f>
        <v/>
      </c>
      <c r="X28" s="200" t="s">
        <v>372</v>
      </c>
      <c r="Y28" s="40">
        <v>0.15</v>
      </c>
      <c r="Z28" s="56"/>
      <c r="AA28" s="238" t="str">
        <f t="shared" si="10"/>
        <v/>
      </c>
      <c r="AB28" s="190"/>
      <c r="AC28" s="266" t="s">
        <v>82</v>
      </c>
      <c r="AD28" s="30" t="s">
        <v>57</v>
      </c>
      <c r="AE28" s="234" t="e">
        <f>SUM(M:M)*VLOOKUP(AE27,LIST!$A$121:$C$126,3,FALSE)</f>
        <v>#N/A</v>
      </c>
      <c r="AF28" s="574">
        <v>0.1</v>
      </c>
      <c r="AG28" s="266">
        <v>16</v>
      </c>
      <c r="AH28" s="244" t="str">
        <f>IFERROR(VLOOKUP(AG28&amp;"-"&amp;$D$7,'CUST DATAB'!B:E,3,FALSE),"")</f>
        <v/>
      </c>
      <c r="AI28" s="248" t="str">
        <f>IFERROR(VLOOKUP(AG28&amp;"-"&amp;$D$7,'CUST DATAB'!B:E,4,FALSE),"")</f>
        <v/>
      </c>
      <c r="AJ28" s="246" t="str">
        <f>IFERROR(IF(VLOOKUP($AH28,$AC$13:$AF$35,4,FALSE)&lt;&gt;0,IF(AI28&lt;&gt;"",VLOOKUP(AI28,'CUST DATAB'!E:F,2,FALSE),""),""),"")</f>
        <v/>
      </c>
      <c r="AK28" s="246" t="str">
        <f t="shared" si="8"/>
        <v/>
      </c>
      <c r="AL28" s="247" t="str">
        <f t="shared" si="7"/>
        <v/>
      </c>
      <c r="AM28" s="247" t="str">
        <f t="shared" si="9"/>
        <v/>
      </c>
      <c r="AN28" s="113"/>
    </row>
    <row r="29" spans="1:40" ht="15.75" customHeight="1" x14ac:dyDescent="0.3">
      <c r="A29" s="271" t="str">
        <f>IFERROR(VLOOKUP(C29,LIST!$A$3:$C$61,4,FALSE),"")</f>
        <v/>
      </c>
      <c r="B29" s="56"/>
      <c r="C29" s="57"/>
      <c r="D29" s="371"/>
      <c r="E29" s="371"/>
      <c r="F29" s="371"/>
      <c r="G29" s="114"/>
      <c r="H29" s="58"/>
      <c r="I29" s="192"/>
      <c r="J29" s="226">
        <f>IF(AND(T29&lt;&gt;"USA",U29&lt;&gt;"USA",V29="NO"),IFERROR((VLOOKUP(C29,FL_COST_COL,MATCH(VLOOKUP($D$6,LIST!$A$111:$B$116,2,FALSE),'FL COST'!$A$1:$G$1,0),FALSE)+IF(D29="Y",0.02,0)+IF(E29="Y",0.02,0)),0),IF(AND(T29&lt;&gt;"USA",U29&lt;&gt;"USA",V29="$"),"ERASE USA COST",IF(AND(T29&lt;&gt;"USA",U29="USA",V29="NO"),"SELECT USA",IF(AND(T29&lt;&gt;"USA",U29="USA",V29="$"),"SELECT USA",IF(AND(T29="USA",U29&lt;&gt;"USA",V29="NO"),"USA COST",IF(AND(T29="USA",U29&lt;&gt;"USA",V29="$"),I29,IF(AND(T29="USA",U29="USA",V29="NO"),"USA COST",IF(AND(T29="USA",U29="USA",V29="$"),I29,IF(C29="","")))))))))</f>
        <v>0</v>
      </c>
      <c r="K29" s="228">
        <f t="shared" si="2"/>
        <v>0</v>
      </c>
      <c r="L29" s="211" t="e">
        <f>IF(G29="USA",0,B29*1/VLOOKUP(C29,PACK!A:B,15,FALSE))</f>
        <v>#N/A</v>
      </c>
      <c r="M29" s="211" t="e">
        <f>B29*1/VLOOKUP(C29,PACK!A:B,15,FALSE)</f>
        <v>#N/A</v>
      </c>
      <c r="N29" s="209" t="e">
        <f>B29*1/VLOOKUP(C29,PACK!A:B,9,FALSE)</f>
        <v>#N/A</v>
      </c>
      <c r="O29" s="212">
        <f t="shared" si="0"/>
        <v>0</v>
      </c>
      <c r="P29" s="213" t="b">
        <f>ISNUMBER(MATCH("TNT_"&amp;A29,TINTED!#REF!,0))</f>
        <v>0</v>
      </c>
      <c r="Q29" s="213" t="b">
        <f>ISNUMBER(MATCH("GLT_"&amp;A29,GLITTERED!#REF!,0))</f>
        <v>0</v>
      </c>
      <c r="R29" s="213" t="b">
        <f>ISNUMBER(MATCH("TNT_GLT_"&amp;A29,'TNT-GLT'!$B$1:$O$1,0))</f>
        <v>0</v>
      </c>
      <c r="S29" s="213" t="b">
        <f>ISNUMBER(MATCH("BC_"&amp;A29,BICOLOR!$B$1:$P$1,0))</f>
        <v>0</v>
      </c>
      <c r="T29" s="213" t="str">
        <f t="shared" si="3"/>
        <v>COL</v>
      </c>
      <c r="U29" s="214" t="str">
        <f t="shared" si="1"/>
        <v/>
      </c>
      <c r="V29" s="213" t="str">
        <f t="shared" si="4"/>
        <v>NO</v>
      </c>
      <c r="W29" s="195">
        <f>IF(Z29="Y",MAX($W$20:W28)+1,"")</f>
        <v>2</v>
      </c>
      <c r="X29" s="200" t="s">
        <v>373</v>
      </c>
      <c r="Y29" s="115">
        <v>0.18</v>
      </c>
      <c r="Z29" s="56" t="s">
        <v>69</v>
      </c>
      <c r="AA29" s="238">
        <f t="shared" si="10"/>
        <v>0.18</v>
      </c>
      <c r="AB29" s="190"/>
      <c r="AC29" s="266"/>
      <c r="AD29" s="31" t="s">
        <v>59</v>
      </c>
      <c r="AE29" s="235">
        <f>VLOOKUP(AE27,LIST!$A$231:$F$236,MATCH($Y$3,LIST!$A$229:$F$229,1),FALSE)</f>
        <v>0.94</v>
      </c>
      <c r="AF29" s="575"/>
      <c r="AG29" s="266">
        <v>17</v>
      </c>
      <c r="AH29" s="244" t="str">
        <f>IFERROR(VLOOKUP(AG29&amp;"-"&amp;$D$7,'CUST DATAB'!B:E,3,FALSE),"")</f>
        <v/>
      </c>
      <c r="AI29" s="248" t="str">
        <f>IFERROR(VLOOKUP(AG29&amp;"-"&amp;$D$7,'CUST DATAB'!B:E,4,FALSE),"")</f>
        <v/>
      </c>
      <c r="AJ29" s="246" t="str">
        <f>IFERROR(IF(VLOOKUP($AH29,$AC$13:$AF$35,4,FALSE)&lt;&gt;0,IF(AI29&lt;&gt;"",VLOOKUP(AI29,'CUST DATAB'!E:F,2,FALSE),""),""),"")</f>
        <v/>
      </c>
      <c r="AK29" s="246" t="str">
        <f t="shared" si="8"/>
        <v/>
      </c>
      <c r="AL29" s="247" t="str">
        <f t="shared" si="7"/>
        <v/>
      </c>
      <c r="AM29" s="247" t="str">
        <f t="shared" si="9"/>
        <v/>
      </c>
      <c r="AN29" s="113"/>
    </row>
    <row r="30" spans="1:40" ht="15" thickBot="1" x14ac:dyDescent="0.35">
      <c r="A30" s="271" t="str">
        <f>IFERROR(VLOOKUP(C30,LIST!$A$3:$C$61,4,FALSE),"")</f>
        <v/>
      </c>
      <c r="B30" s="56"/>
      <c r="C30" s="57"/>
      <c r="D30" s="371"/>
      <c r="E30" s="371"/>
      <c r="F30" s="371"/>
      <c r="G30" s="114"/>
      <c r="H30" s="58"/>
      <c r="I30" s="192"/>
      <c r="J30" s="226">
        <f>IF(AND(T30&lt;&gt;"USA",U30&lt;&gt;"USA",V30="NO"),IFERROR((VLOOKUP(C30,FL_COST_COL,MATCH(VLOOKUP($D$6,LIST!$A$111:$B$116,2,FALSE),'FL COST'!$A$1:$G$1,0),FALSE)+IF(D30="Y",0.02,0)+IF(E30="Y",0.02,0)),0),IF(AND(T30&lt;&gt;"USA",U30&lt;&gt;"USA",V30="$"),"ERASE USA COST",IF(AND(T30&lt;&gt;"USA",U30="USA",V30="NO"),"SELECT USA",IF(AND(T30&lt;&gt;"USA",U30="USA",V30="$"),"SELECT USA",IF(AND(T30="USA",U30&lt;&gt;"USA",V30="NO"),"USA COST",IF(AND(T30="USA",U30&lt;&gt;"USA",V30="$"),I30,IF(AND(T30="USA",U30="USA",V30="NO"),"USA COST",IF(AND(T30="USA",U30="USA",V30="$"),I30,IF(C30="","")))))))))</f>
        <v>0</v>
      </c>
      <c r="K30" s="228">
        <f t="shared" si="2"/>
        <v>0</v>
      </c>
      <c r="L30" s="211" t="e">
        <f>IF(G30="USA",0,B30*1/VLOOKUP(C30,PACK!A:B,15,FALSE))</f>
        <v>#N/A</v>
      </c>
      <c r="M30" s="211" t="e">
        <f>B30*1/VLOOKUP(C30,PACK!A:B,15,FALSE)</f>
        <v>#N/A</v>
      </c>
      <c r="N30" s="209" t="e">
        <f>B30*1/VLOOKUP(C30,PACK!A:B,9,FALSE)</f>
        <v>#N/A</v>
      </c>
      <c r="O30" s="212">
        <f t="shared" si="0"/>
        <v>0</v>
      </c>
      <c r="P30" s="213" t="b">
        <f>ISNUMBER(MATCH("TNT_"&amp;A30,TINTED!#REF!,0))</f>
        <v>0</v>
      </c>
      <c r="Q30" s="213" t="b">
        <f>ISNUMBER(MATCH("GLT_"&amp;A30,GLITTERED!#REF!,0))</f>
        <v>0</v>
      </c>
      <c r="R30" s="213" t="b">
        <f>ISNUMBER(MATCH("TNT_GLT_"&amp;A30,'TNT-GLT'!$B$1:$O$1,0))</f>
        <v>0</v>
      </c>
      <c r="S30" s="213" t="b">
        <f>ISNUMBER(MATCH("BC_"&amp;A30,BICOLOR!$B$1:$P$1,0))</f>
        <v>0</v>
      </c>
      <c r="T30" s="213" t="str">
        <f t="shared" si="3"/>
        <v>COL</v>
      </c>
      <c r="U30" s="214" t="str">
        <f t="shared" si="1"/>
        <v/>
      </c>
      <c r="V30" s="213" t="str">
        <f t="shared" si="4"/>
        <v>NO</v>
      </c>
      <c r="W30" s="195" t="str">
        <f>IF(Z30="Y",MAX($W$20:W29)+1,"")</f>
        <v/>
      </c>
      <c r="X30" s="201" t="s">
        <v>374</v>
      </c>
      <c r="Y30" s="115"/>
      <c r="Z30" s="56"/>
      <c r="AA30" s="239" t="str">
        <f t="shared" si="10"/>
        <v/>
      </c>
      <c r="AB30" s="190"/>
      <c r="AC30" s="266"/>
      <c r="AD30" s="32" t="s">
        <v>62</v>
      </c>
      <c r="AE30" s="236" t="e">
        <f>+$Y$14+SUM($AA$21:$AA$32)+AE28+AE29</f>
        <v>#N/A</v>
      </c>
      <c r="AF30" s="576"/>
      <c r="AG30" s="266">
        <v>18</v>
      </c>
      <c r="AH30" s="244" t="str">
        <f>IFERROR(VLOOKUP(AG30&amp;"-"&amp;$D$7,'CUST DATAB'!B:E,3,FALSE),"")</f>
        <v/>
      </c>
      <c r="AI30" s="248" t="str">
        <f>IFERROR(VLOOKUP(AG30&amp;"-"&amp;$D$7,'CUST DATAB'!B:E,4,FALSE),"")</f>
        <v/>
      </c>
      <c r="AJ30" s="246" t="str">
        <f>IFERROR(IF(VLOOKUP($AH30,$AC$13:$AF$35,4,FALSE)&lt;&gt;0,IF(AI30&lt;&gt;"",VLOOKUP(AI30,'CUST DATAB'!E:F,2,FALSE),""),""),"")</f>
        <v/>
      </c>
      <c r="AK30" s="246" t="str">
        <f t="shared" si="8"/>
        <v/>
      </c>
      <c r="AL30" s="247" t="str">
        <f t="shared" si="7"/>
        <v/>
      </c>
      <c r="AM30" s="247" t="str">
        <f t="shared" si="9"/>
        <v/>
      </c>
      <c r="AN30" s="113"/>
    </row>
    <row r="31" spans="1:40" x14ac:dyDescent="0.3">
      <c r="A31" s="271" t="str">
        <f>IFERROR(VLOOKUP(C31,LIST!$A$3:$C$61,4,FALSE),"")</f>
        <v/>
      </c>
      <c r="B31" s="56"/>
      <c r="C31" s="57"/>
      <c r="D31" s="371"/>
      <c r="E31" s="371"/>
      <c r="F31" s="371"/>
      <c r="G31" s="114"/>
      <c r="H31" s="58"/>
      <c r="I31" s="192"/>
      <c r="J31" s="226">
        <f>IF(AND(T31&lt;&gt;"USA",U31&lt;&gt;"USA",V31="NO"),IFERROR((VLOOKUP(C31,FL_COST_COL,MATCH(VLOOKUP($D$6,LIST!$A$111:$B$116,2,FALSE),'FL COST'!$A$1:$G$1,0),FALSE)+IF(D31="Y",0.02,0)+IF(E31="Y",0.02,0)),0),IF(AND(T31&lt;&gt;"USA",U31&lt;&gt;"USA",V31="$"),"ERASE USA COST",IF(AND(T31&lt;&gt;"USA",U31="USA",V31="NO"),"SELECT USA",IF(AND(T31&lt;&gt;"USA",U31="USA",V31="$"),"SELECT USA",IF(AND(T31="USA",U31&lt;&gt;"USA",V31="NO"),"USA COST",IF(AND(T31="USA",U31&lt;&gt;"USA",V31="$"),I31,IF(AND(T31="USA",U31="USA",V31="NO"),"USA COST",IF(AND(T31="USA",U31="USA",V31="$"),I31,IF(C31="","")))))))))</f>
        <v>0</v>
      </c>
      <c r="K31" s="228">
        <f t="shared" si="2"/>
        <v>0</v>
      </c>
      <c r="L31" s="211" t="e">
        <f>IF(G31="USA",0,B31*1/VLOOKUP(C31,PACK!A:B,15,FALSE))</f>
        <v>#N/A</v>
      </c>
      <c r="M31" s="211" t="e">
        <f>B31*1/VLOOKUP(C31,PACK!A:B,15,FALSE)</f>
        <v>#N/A</v>
      </c>
      <c r="N31" s="209" t="e">
        <f>B31*1/VLOOKUP(C31,PACK!A:B,9,FALSE)</f>
        <v>#N/A</v>
      </c>
      <c r="O31" s="212">
        <f t="shared" si="0"/>
        <v>0</v>
      </c>
      <c r="P31" s="213" t="b">
        <f>ISNUMBER(MATCH("TNT_"&amp;A31,TINTED!#REF!,0))</f>
        <v>0</v>
      </c>
      <c r="Q31" s="213" t="b">
        <f>ISNUMBER(MATCH("GLT_"&amp;A31,GLITTERED!#REF!,0))</f>
        <v>0</v>
      </c>
      <c r="R31" s="213" t="b">
        <f>ISNUMBER(MATCH("TNT_GLT_"&amp;A31,'TNT-GLT'!$B$1:$O$1,0))</f>
        <v>0</v>
      </c>
      <c r="S31" s="213" t="b">
        <f>ISNUMBER(MATCH("BC_"&amp;A31,BICOLOR!$B$1:$P$1,0))</f>
        <v>0</v>
      </c>
      <c r="T31" s="213" t="str">
        <f t="shared" si="3"/>
        <v>COL</v>
      </c>
      <c r="U31" s="214" t="str">
        <f t="shared" si="1"/>
        <v/>
      </c>
      <c r="V31" s="213" t="str">
        <f t="shared" si="4"/>
        <v>NO</v>
      </c>
      <c r="W31" s="197"/>
      <c r="X31" s="202" t="s">
        <v>375</v>
      </c>
      <c r="Y31" s="584" t="s">
        <v>376</v>
      </c>
      <c r="Z31" s="585"/>
      <c r="AA31" s="240">
        <f>IFERROR(VLOOKUP(Y31,CASES,5,FALSE)/Y7,0)</f>
        <v>0.19166666666666665</v>
      </c>
      <c r="AB31" s="190"/>
      <c r="AC31" s="266"/>
      <c r="AG31" s="266">
        <v>19</v>
      </c>
      <c r="AH31" s="244" t="str">
        <f>IFERROR(VLOOKUP(AG31&amp;"-"&amp;$D$7,'CUST DATAB'!B:E,3,FALSE),"")</f>
        <v/>
      </c>
      <c r="AI31" s="248" t="str">
        <f>IFERROR(VLOOKUP(AG31&amp;"-"&amp;$D$7,'CUST DATAB'!B:E,4,FALSE),"")</f>
        <v/>
      </c>
      <c r="AJ31" s="246" t="str">
        <f>IFERROR(IF(VLOOKUP($AH31,$AC$13:$AF$35,4,FALSE)&lt;&gt;0,IF(AI31&lt;&gt;"",VLOOKUP(AI31,'CUST DATAB'!E:F,2,FALSE),""),""),"")</f>
        <v/>
      </c>
      <c r="AK31" s="246" t="str">
        <f t="shared" si="8"/>
        <v/>
      </c>
      <c r="AL31" s="247" t="str">
        <f t="shared" si="7"/>
        <v/>
      </c>
      <c r="AM31" s="247" t="str">
        <f t="shared" si="9"/>
        <v/>
      </c>
      <c r="AN31" s="113"/>
    </row>
    <row r="32" spans="1:40" ht="15" customHeight="1" thickBot="1" x14ac:dyDescent="0.35">
      <c r="A32" s="271" t="str">
        <f>IFERROR(VLOOKUP(C32,LIST!$A$3:$C$61,4,FALSE),"")</f>
        <v/>
      </c>
      <c r="B32" s="56"/>
      <c r="C32" s="57"/>
      <c r="D32" s="371"/>
      <c r="E32" s="371"/>
      <c r="F32" s="371"/>
      <c r="G32" s="114"/>
      <c r="H32" s="58"/>
      <c r="I32" s="192"/>
      <c r="J32" s="226">
        <f>IF(AND(T32&lt;&gt;"USA",U32&lt;&gt;"USA",V32="NO"),IFERROR((VLOOKUP(C32,FL_COST_COL,MATCH(VLOOKUP($D$6,LIST!$A$111:$B$116,2,FALSE),'FL COST'!$A$1:$G$1,0),FALSE)+IF(D32="Y",0.02,0)+IF(E32="Y",0.02,0)),0),IF(AND(T32&lt;&gt;"USA",U32&lt;&gt;"USA",V32="$"),"ERASE USA COST",IF(AND(T32&lt;&gt;"USA",U32="USA",V32="NO"),"SELECT USA",IF(AND(T32&lt;&gt;"USA",U32="USA",V32="$"),"SELECT USA",IF(AND(T32="USA",U32&lt;&gt;"USA",V32="NO"),"USA COST",IF(AND(T32="USA",U32&lt;&gt;"USA",V32="$"),I32,IF(AND(T32="USA",U32="USA",V32="NO"),"USA COST",IF(AND(T32="USA",U32="USA",V32="$"),I32,IF(C32="","")))))))))</f>
        <v>0</v>
      </c>
      <c r="K32" s="228">
        <f t="shared" si="2"/>
        <v>0</v>
      </c>
      <c r="L32" s="211" t="e">
        <f>IF(G32="USA",0,B32*1/VLOOKUP(C32,PACK!A:B,15,FALSE))</f>
        <v>#N/A</v>
      </c>
      <c r="M32" s="211" t="e">
        <f>B32*1/VLOOKUP(C32,PACK!A:B,15,FALSE)</f>
        <v>#N/A</v>
      </c>
      <c r="N32" s="209" t="e">
        <f>B32*1/VLOOKUP(C32,PACK!A:B,9,FALSE)</f>
        <v>#N/A</v>
      </c>
      <c r="O32" s="212">
        <f t="shared" si="0"/>
        <v>0</v>
      </c>
      <c r="P32" s="213" t="b">
        <f>ISNUMBER(MATCH("TNT_"&amp;A32,TINTED!#REF!,0))</f>
        <v>0</v>
      </c>
      <c r="Q32" s="213" t="b">
        <f>ISNUMBER(MATCH("GLT_"&amp;A32,GLITTERED!#REF!,0))</f>
        <v>0</v>
      </c>
      <c r="R32" s="213" t="b">
        <f>ISNUMBER(MATCH("TNT_GLT_"&amp;A32,'TNT-GLT'!$B$1:$O$1,0))</f>
        <v>0</v>
      </c>
      <c r="S32" s="213" t="b">
        <f>ISNUMBER(MATCH("BC_"&amp;A32,BICOLOR!$B$1:$P$1,0))</f>
        <v>0</v>
      </c>
      <c r="T32" s="213" t="str">
        <f t="shared" si="3"/>
        <v>COL</v>
      </c>
      <c r="U32" s="214" t="str">
        <f t="shared" si="1"/>
        <v/>
      </c>
      <c r="V32" s="213" t="str">
        <f t="shared" si="4"/>
        <v>NO</v>
      </c>
      <c r="W32" s="197"/>
      <c r="X32" s="201" t="s">
        <v>377</v>
      </c>
      <c r="Y32" s="203"/>
      <c r="Z32" s="43"/>
      <c r="AA32" s="239">
        <f>VLOOKUP(Y31,CASES,8,FALSE)/$Y$7</f>
        <v>0.16333333333333333</v>
      </c>
      <c r="AB32" s="190"/>
      <c r="AC32" s="266"/>
      <c r="AD32" s="39" t="s">
        <v>88</v>
      </c>
      <c r="AE32" s="195" t="s">
        <v>89</v>
      </c>
      <c r="AF32" s="188" t="s">
        <v>54</v>
      </c>
      <c r="AG32" s="266">
        <v>20</v>
      </c>
      <c r="AH32" s="244" t="str">
        <f>IFERROR(VLOOKUP(AG32&amp;"-"&amp;$D$7,'CUST DATAB'!B:E,3,FALSE),"")</f>
        <v/>
      </c>
      <c r="AI32" s="248" t="str">
        <f>IFERROR(VLOOKUP(AG32&amp;"-"&amp;$D$7,'CUST DATAB'!B:E,4,FALSE),"")</f>
        <v/>
      </c>
      <c r="AJ32" s="246" t="str">
        <f>IFERROR(IF(VLOOKUP($AH32,$AC$13:$AF$35,4,FALSE)&lt;&gt;0,IF(AI32&lt;&gt;"",VLOOKUP(AI32,'CUST DATAB'!E:F,2,FALSE),""),""),"")</f>
        <v/>
      </c>
      <c r="AK32" s="246" t="str">
        <f t="shared" si="8"/>
        <v/>
      </c>
      <c r="AL32" s="247" t="str">
        <f t="shared" si="7"/>
        <v/>
      </c>
      <c r="AM32" s="247" t="str">
        <f t="shared" si="9"/>
        <v/>
      </c>
      <c r="AN32" s="113"/>
    </row>
    <row r="33" spans="1:40" ht="15" customHeight="1" x14ac:dyDescent="0.3">
      <c r="A33" s="271" t="str">
        <f>IFERROR(VLOOKUP(C33,LIST!$A$3:$C$61,4,FALSE),"")</f>
        <v/>
      </c>
      <c r="B33" s="56"/>
      <c r="C33" s="57"/>
      <c r="D33" s="371"/>
      <c r="E33" s="371"/>
      <c r="F33" s="371"/>
      <c r="G33" s="114"/>
      <c r="H33" s="58"/>
      <c r="I33" s="192"/>
      <c r="J33" s="226">
        <f>IF(AND(T33&lt;&gt;"USA",U33&lt;&gt;"USA",V33="NO"),IFERROR((VLOOKUP(C33,FL_COST_COL,MATCH(VLOOKUP($D$6,LIST!$A$111:$B$116,2,FALSE),'FL COST'!$A$1:$G$1,0),FALSE)+IF(D33="Y",0.02,0)+IF(E33="Y",0.02,0)),0),IF(AND(T33&lt;&gt;"USA",U33&lt;&gt;"USA",V33="$"),"ERASE USA COST",IF(AND(T33&lt;&gt;"USA",U33="USA",V33="NO"),"SELECT USA",IF(AND(T33&lt;&gt;"USA",U33="USA",V33="$"),"SELECT USA",IF(AND(T33="USA",U33&lt;&gt;"USA",V33="NO"),"USA COST",IF(AND(T33="USA",U33&lt;&gt;"USA",V33="$"),I33,IF(AND(T33="USA",U33="USA",V33="NO"),"USA COST",IF(AND(T33="USA",U33="USA",V33="$"),I33,IF(C33="","")))))))))</f>
        <v>0</v>
      </c>
      <c r="K33" s="228">
        <f t="shared" si="2"/>
        <v>0</v>
      </c>
      <c r="L33" s="211" t="e">
        <f>IF(G33="USA",0,B33*1/VLOOKUP(C33,PACK!A:B,15,FALSE))</f>
        <v>#N/A</v>
      </c>
      <c r="M33" s="211" t="e">
        <f>B33*1/VLOOKUP(C33,PACK!A:B,15,FALSE)</f>
        <v>#N/A</v>
      </c>
      <c r="N33" s="209" t="e">
        <f>B33*1/VLOOKUP(C33,PACK!A:B,9,FALSE)</f>
        <v>#N/A</v>
      </c>
      <c r="O33" s="212">
        <f t="shared" si="0"/>
        <v>0</v>
      </c>
      <c r="P33" s="213" t="b">
        <f>ISNUMBER(MATCH("TNT_"&amp;A33,TINTED!#REF!,0))</f>
        <v>0</v>
      </c>
      <c r="Q33" s="213" t="b">
        <f>ISNUMBER(MATCH("GLT_"&amp;A33,GLITTERED!#REF!,0))</f>
        <v>0</v>
      </c>
      <c r="R33" s="213" t="b">
        <f>ISNUMBER(MATCH("TNT_GLT_"&amp;A33,'TNT-GLT'!$B$1:$O$1,0))</f>
        <v>0</v>
      </c>
      <c r="S33" s="213" t="b">
        <f>ISNUMBER(MATCH("BC_"&amp;A33,BICOLOR!$B$1:$P$1,0))</f>
        <v>0</v>
      </c>
      <c r="T33" s="213" t="str">
        <f t="shared" si="3"/>
        <v>COL</v>
      </c>
      <c r="U33" s="214" t="str">
        <f t="shared" si="1"/>
        <v/>
      </c>
      <c r="V33" s="213" t="str">
        <f t="shared" si="4"/>
        <v>NO</v>
      </c>
      <c r="W33" s="197"/>
      <c r="X33" s="204" t="s">
        <v>13</v>
      </c>
      <c r="Y33" s="241" t="str">
        <f>VLOOKUP(Y31,CASES,3,FALSE)</f>
        <v>20x12x25</v>
      </c>
      <c r="AB33" s="190"/>
      <c r="AC33" s="266" t="s">
        <v>88</v>
      </c>
      <c r="AD33" s="30" t="s">
        <v>57</v>
      </c>
      <c r="AE33" s="234" t="e">
        <f>SUM(M:M)*VLOOKUP(AE32,LIST!$A$121:$C$126,3,FALSE)</f>
        <v>#N/A</v>
      </c>
      <c r="AF33" s="574">
        <v>0.1</v>
      </c>
      <c r="AG33" s="266">
        <v>21</v>
      </c>
      <c r="AH33" s="244" t="str">
        <f>IFERROR(VLOOKUP(AG33&amp;"-"&amp;$D$7,'CUST DATAB'!B:E,3,FALSE),"")</f>
        <v/>
      </c>
      <c r="AI33" s="248" t="str">
        <f>IFERROR(VLOOKUP(AG33&amp;"-"&amp;$D$7,'CUST DATAB'!B:E,4,FALSE),"")</f>
        <v/>
      </c>
      <c r="AJ33" s="246" t="str">
        <f>IFERROR(IF(VLOOKUP($AH33,$AC$13:$AF$35,4,FALSE)&lt;&gt;0,IF(AI33&lt;&gt;"",VLOOKUP(AI33,'CUST DATAB'!E:F,2,FALSE),""),""),"")</f>
        <v/>
      </c>
      <c r="AK33" s="246" t="str">
        <f t="shared" si="8"/>
        <v/>
      </c>
      <c r="AL33" s="247" t="str">
        <f t="shared" si="7"/>
        <v/>
      </c>
      <c r="AM33" s="247" t="str">
        <f t="shared" si="9"/>
        <v/>
      </c>
      <c r="AN33" s="113"/>
    </row>
    <row r="34" spans="1:40" ht="15.75" customHeight="1" x14ac:dyDescent="0.3">
      <c r="A34" s="271" t="str">
        <f>IFERROR(VLOOKUP(C34,LIST!$A$3:$C$61,4,FALSE),"")</f>
        <v/>
      </c>
      <c r="B34" s="56"/>
      <c r="C34" s="57"/>
      <c r="D34" s="371"/>
      <c r="E34" s="371"/>
      <c r="F34" s="371"/>
      <c r="G34" s="114"/>
      <c r="H34" s="58"/>
      <c r="I34" s="192"/>
      <c r="J34" s="226">
        <f>IF(AND(T34&lt;&gt;"USA",U34&lt;&gt;"USA",V34="NO"),IFERROR((VLOOKUP(C34,FL_COST_COL,MATCH(VLOOKUP($D$6,LIST!$A$111:$B$116,2,FALSE),'FL COST'!$A$1:$G$1,0),FALSE)+IF(D34="Y",0.02,0)+IF(E34="Y",0.02,0)),0),IF(AND(T34&lt;&gt;"USA",U34&lt;&gt;"USA",V34="$"),"ERASE USA COST",IF(AND(T34&lt;&gt;"USA",U34="USA",V34="NO"),"SELECT USA",IF(AND(T34&lt;&gt;"USA",U34="USA",V34="$"),"SELECT USA",IF(AND(T34="USA",U34&lt;&gt;"USA",V34="NO"),"USA COST",IF(AND(T34="USA",U34&lt;&gt;"USA",V34="$"),I34,IF(AND(T34="USA",U34="USA",V34="NO"),"USA COST",IF(AND(T34="USA",U34="USA",V34="$"),I34,IF(C34="","")))))))))</f>
        <v>0</v>
      </c>
      <c r="K34" s="228">
        <f t="shared" si="2"/>
        <v>0</v>
      </c>
      <c r="L34" s="211" t="e">
        <f>IF(G34="USA",0,B34*1/VLOOKUP(C34,PACK!A:B,15,FALSE))</f>
        <v>#N/A</v>
      </c>
      <c r="M34" s="211" t="e">
        <f>B34*1/VLOOKUP(C34,PACK!A:B,15,FALSE)</f>
        <v>#N/A</v>
      </c>
      <c r="N34" s="209" t="e">
        <f>B34*1/VLOOKUP(C34,PACK!A:B,9,FALSE)</f>
        <v>#N/A</v>
      </c>
      <c r="O34" s="212">
        <f t="shared" si="0"/>
        <v>0</v>
      </c>
      <c r="P34" s="213" t="b">
        <f>ISNUMBER(MATCH("TNT_"&amp;A34,TINTED!#REF!,0))</f>
        <v>0</v>
      </c>
      <c r="Q34" s="213" t="b">
        <f>ISNUMBER(MATCH("GLT_"&amp;A34,GLITTERED!#REF!,0))</f>
        <v>0</v>
      </c>
      <c r="R34" s="213" t="b">
        <f>ISNUMBER(MATCH("TNT_GLT_"&amp;A34,'TNT-GLT'!$B$1:$O$1,0))</f>
        <v>0</v>
      </c>
      <c r="S34" s="213" t="b">
        <f>ISNUMBER(MATCH("BC_"&amp;A34,BICOLOR!$B$1:$P$1,0))</f>
        <v>0</v>
      </c>
      <c r="T34" s="213" t="str">
        <f t="shared" si="3"/>
        <v>COL</v>
      </c>
      <c r="U34" s="214" t="str">
        <f t="shared" si="1"/>
        <v/>
      </c>
      <c r="V34" s="213" t="str">
        <f t="shared" si="4"/>
        <v>NO</v>
      </c>
      <c r="W34" s="197"/>
      <c r="X34" s="205" t="s">
        <v>98</v>
      </c>
      <c r="Y34" s="242">
        <f>VLOOKUP(Y31,CASES,4,FALSE)</f>
        <v>3.4722222222222223</v>
      </c>
      <c r="AB34" s="190"/>
      <c r="AC34" s="266"/>
      <c r="AD34" s="31" t="s">
        <v>59</v>
      </c>
      <c r="AE34" s="235">
        <f>VLOOKUP(AE32,LIST!$A$231:$F$236,MATCH($Y$3,LIST!$A$229:$F$229,1),FALSE)</f>
        <v>0.94</v>
      </c>
      <c r="AF34" s="575"/>
      <c r="AG34" s="266">
        <v>22</v>
      </c>
      <c r="AH34" s="244" t="str">
        <f>IFERROR(VLOOKUP(AG34&amp;"-"&amp;$D$7,'CUST DATAB'!B:E,3,FALSE),"")</f>
        <v/>
      </c>
      <c r="AI34" s="248" t="str">
        <f>IFERROR(VLOOKUP(AG34&amp;"-"&amp;$D$7,'CUST DATAB'!B:E,4,FALSE),"")</f>
        <v/>
      </c>
      <c r="AJ34" s="246" t="str">
        <f>IFERROR(IF(VLOOKUP($AH34,$AC$13:$AF$35,4,FALSE)&lt;&gt;0,IF(AI34&lt;&gt;"",VLOOKUP(AI34,'CUST DATAB'!E:F,2,FALSE),""),""),"")</f>
        <v/>
      </c>
      <c r="AK34" s="246" t="str">
        <f t="shared" si="8"/>
        <v/>
      </c>
      <c r="AL34" s="247" t="str">
        <f t="shared" si="7"/>
        <v/>
      </c>
      <c r="AM34" s="247" t="str">
        <f t="shared" si="9"/>
        <v/>
      </c>
      <c r="AN34" s="113"/>
    </row>
    <row r="35" spans="1:40" ht="15" thickBot="1" x14ac:dyDescent="0.35">
      <c r="A35" s="271" t="str">
        <f>IFERROR(VLOOKUP(C35,LIST!$A$3:$C$61,4,FALSE),"")</f>
        <v/>
      </c>
      <c r="B35" s="56"/>
      <c r="C35" s="57"/>
      <c r="D35" s="371"/>
      <c r="E35" s="371"/>
      <c r="F35" s="371"/>
      <c r="G35" s="114"/>
      <c r="H35" s="58"/>
      <c r="I35" s="192"/>
      <c r="J35" s="226">
        <f>IF(AND(T35&lt;&gt;"USA",U35&lt;&gt;"USA",V35="NO"),IFERROR((VLOOKUP(C35,FL_COST_COL,MATCH(VLOOKUP($D$6,LIST!$A$111:$B$116,2,FALSE),'FL COST'!$A$1:$G$1,0),FALSE)+IF(D35="Y",0.02,0)+IF(E35="Y",0.02,0)),0),IF(AND(T35&lt;&gt;"USA",U35&lt;&gt;"USA",V35="$"),"ERASE USA COST",IF(AND(T35&lt;&gt;"USA",U35="USA",V35="NO"),"SELECT USA",IF(AND(T35&lt;&gt;"USA",U35="USA",V35="$"),"SELECT USA",IF(AND(T35="USA",U35&lt;&gt;"USA",V35="NO"),"USA COST",IF(AND(T35="USA",U35&lt;&gt;"USA",V35="$"),I35,IF(AND(T35="USA",U35="USA",V35="NO"),"USA COST",IF(AND(T35="USA",U35="USA",V35="$"),I35,IF(C35="","")))))))))</f>
        <v>0</v>
      </c>
      <c r="K35" s="229">
        <f t="shared" si="2"/>
        <v>0</v>
      </c>
      <c r="L35" s="211" t="e">
        <f>IF(G35="USA",0,B35*1/VLOOKUP(C35,PACK!A:B,15,FALSE))</f>
        <v>#N/A</v>
      </c>
      <c r="M35" s="211" t="e">
        <f>B35*1/VLOOKUP(C35,PACK!A:B,15,FALSE)</f>
        <v>#N/A</v>
      </c>
      <c r="N35" s="209" t="e">
        <f>B35*1/VLOOKUP(C35,PACK!A:B,9,FALSE)</f>
        <v>#N/A</v>
      </c>
      <c r="O35" s="212">
        <f t="shared" si="0"/>
        <v>0</v>
      </c>
      <c r="P35" s="213" t="b">
        <f>ISNUMBER(MATCH("TNT_"&amp;A35,TINTED!#REF!,0))</f>
        <v>0</v>
      </c>
      <c r="Q35" s="213" t="b">
        <f>ISNUMBER(MATCH("GLT_"&amp;A35,GLITTERED!#REF!,0))</f>
        <v>0</v>
      </c>
      <c r="R35" s="213" t="b">
        <f>ISNUMBER(MATCH("TNT_GLT_"&amp;A35,'TNT-GLT'!$B$1:$O$1,0))</f>
        <v>0</v>
      </c>
      <c r="S35" s="213" t="b">
        <f>ISNUMBER(MATCH("BC_"&amp;A35,BICOLOR!$B$1:$P$1,0))</f>
        <v>0</v>
      </c>
      <c r="T35" s="213" t="str">
        <f t="shared" si="3"/>
        <v>COL</v>
      </c>
      <c r="U35" s="214" t="str">
        <f t="shared" si="1"/>
        <v/>
      </c>
      <c r="V35" s="213" t="str">
        <f t="shared" si="4"/>
        <v>NO</v>
      </c>
      <c r="W35" s="197"/>
      <c r="X35" s="205" t="s">
        <v>378</v>
      </c>
      <c r="Y35" s="243">
        <f>VLOOKUP(Y31,CASES,7,FALSE)</f>
        <v>24</v>
      </c>
      <c r="AB35" s="190"/>
      <c r="AC35" s="266"/>
      <c r="AD35" s="32" t="s">
        <v>62</v>
      </c>
      <c r="AE35" s="236" t="e">
        <f>+$Y$14+SUM($AA$21:$AA$32)+AE33+AE34</f>
        <v>#N/A</v>
      </c>
      <c r="AF35" s="576"/>
      <c r="AG35" s="266">
        <v>23</v>
      </c>
      <c r="AH35" s="244" t="str">
        <f>IFERROR(VLOOKUP(AG35&amp;"-"&amp;$D$7,'CUST DATAB'!B:E,3,FALSE),"")</f>
        <v/>
      </c>
      <c r="AI35" s="248" t="str">
        <f>IFERROR(VLOOKUP(AG35&amp;"-"&amp;$D$7,'CUST DATAB'!B:E,4,FALSE),"")</f>
        <v/>
      </c>
      <c r="AJ35" s="246" t="str">
        <f>IFERROR(IF(VLOOKUP($AH35,$AC$13:$AF$35,4,FALSE)&lt;&gt;0,IF(AI35&lt;&gt;"",VLOOKUP(AI35,'CUST DATAB'!E:F,2,FALSE),""),""),"")</f>
        <v/>
      </c>
      <c r="AK35" s="246" t="str">
        <f t="shared" si="8"/>
        <v/>
      </c>
      <c r="AL35" s="247" t="str">
        <f t="shared" si="7"/>
        <v/>
      </c>
      <c r="AM35" s="247" t="str">
        <f t="shared" si="9"/>
        <v/>
      </c>
      <c r="AN35" s="113"/>
    </row>
    <row r="36" spans="1:40" ht="15" thickBot="1" x14ac:dyDescent="0.35">
      <c r="A36" s="272"/>
      <c r="B36" s="206"/>
      <c r="C36" s="207"/>
      <c r="D36" s="207"/>
      <c r="E36" s="207"/>
      <c r="F36" s="207"/>
      <c r="G36" s="207"/>
      <c r="H36" s="207"/>
      <c r="I36" s="207"/>
      <c r="J36" s="207"/>
      <c r="K36" s="208"/>
      <c r="T36" s="213"/>
      <c r="U36" s="214"/>
      <c r="V36" s="213"/>
      <c r="W36" s="197"/>
      <c r="X36" s="190"/>
      <c r="Y36" s="190"/>
      <c r="Z36" s="190"/>
      <c r="AA36" s="190"/>
      <c r="AB36" s="190"/>
      <c r="AC36" s="266"/>
      <c r="AG36" s="266">
        <v>24</v>
      </c>
      <c r="AH36" s="244" t="str">
        <f>IFERROR(VLOOKUP(AG36&amp;"-"&amp;$D$7,'CUST DATAB'!B:E,3,FALSE),"")</f>
        <v/>
      </c>
      <c r="AI36" s="248" t="str">
        <f>IFERROR(VLOOKUP(AG36&amp;"-"&amp;$D$7,'CUST DATAB'!B:E,4,FALSE),"")</f>
        <v/>
      </c>
      <c r="AJ36" s="246" t="str">
        <f>IFERROR(IF(VLOOKUP($AH36,$AC$13:$AF$35,4,FALSE)&lt;&gt;0,IF(AI36&lt;&gt;"",VLOOKUP(AI36,'CUST DATAB'!E:F,2,FALSE),""),""),"")</f>
        <v/>
      </c>
      <c r="AK36" s="246" t="str">
        <f t="shared" si="8"/>
        <v/>
      </c>
      <c r="AL36" s="247" t="str">
        <f t="shared" si="7"/>
        <v/>
      </c>
      <c r="AM36" s="247" t="str">
        <f t="shared" si="9"/>
        <v/>
      </c>
      <c r="AN36" s="113"/>
    </row>
    <row r="37" spans="1:40" ht="15" thickBot="1" x14ac:dyDescent="0.35">
      <c r="T37" s="213"/>
      <c r="U37" s="214"/>
      <c r="V37" s="213"/>
      <c r="AC37" s="266" t="s">
        <v>93</v>
      </c>
      <c r="AD37" s="39" t="s">
        <v>93</v>
      </c>
      <c r="AE37" s="195" t="s">
        <v>94</v>
      </c>
      <c r="AF37" s="188" t="s">
        <v>54</v>
      </c>
      <c r="AG37" s="266">
        <v>25</v>
      </c>
      <c r="AH37" s="244" t="str">
        <f>IFERROR(VLOOKUP(AG37&amp;"-"&amp;$D$7,'CUST DATAB'!B:E,3,FALSE),"")</f>
        <v/>
      </c>
      <c r="AI37" s="248" t="str">
        <f>IFERROR(VLOOKUP(AG37&amp;"-"&amp;$D$7,'CUST DATAB'!B:E,4,FALSE),"")</f>
        <v/>
      </c>
      <c r="AJ37" s="246" t="str">
        <f>IFERROR(IF(VLOOKUP($AH37,$AC$13:$AF$35,4,FALSE)&lt;&gt;0,IF(AI37&lt;&gt;"",VLOOKUP(AI37,'CUST DATAB'!E:F,2,FALSE),""),""),"")</f>
        <v/>
      </c>
      <c r="AK37" s="246" t="str">
        <f t="shared" si="8"/>
        <v/>
      </c>
      <c r="AL37" s="247" t="str">
        <f t="shared" si="7"/>
        <v/>
      </c>
      <c r="AM37" s="247" t="str">
        <f t="shared" si="9"/>
        <v/>
      </c>
      <c r="AN37" s="113"/>
    </row>
    <row r="38" spans="1:40" x14ac:dyDescent="0.3">
      <c r="T38" s="213"/>
      <c r="U38" s="214"/>
      <c r="V38" s="213"/>
      <c r="AC38" s="248"/>
      <c r="AD38" s="30" t="s">
        <v>57</v>
      </c>
      <c r="AE38" s="234" t="e">
        <f>SUM(M:M)*VLOOKUP(AE37,LIST!$A$121:$C$126,3,FALSE)</f>
        <v>#N/A</v>
      </c>
      <c r="AF38" s="574">
        <v>0.5</v>
      </c>
      <c r="AG38" s="266">
        <v>26</v>
      </c>
      <c r="AH38" s="244" t="str">
        <f>IFERROR(VLOOKUP(AG38&amp;"-"&amp;$D$7,'CUST DATAB'!B:E,3,FALSE),"")</f>
        <v/>
      </c>
      <c r="AI38" s="248" t="str">
        <f>IFERROR(VLOOKUP(AG38&amp;"-"&amp;$D$7,'CUST DATAB'!B:E,4,FALSE),"")</f>
        <v/>
      </c>
      <c r="AJ38" s="246" t="str">
        <f>IFERROR(IF(VLOOKUP($AH38,$AC$13:$AF$35,4,FALSE)&lt;&gt;0,IF(AI38&lt;&gt;"",VLOOKUP(AI38,'CUST DATAB'!E:F,2,FALSE),""),""),"")</f>
        <v/>
      </c>
      <c r="AK38" s="246" t="str">
        <f t="shared" si="8"/>
        <v/>
      </c>
      <c r="AL38" s="247" t="str">
        <f t="shared" si="7"/>
        <v/>
      </c>
      <c r="AM38" s="247" t="str">
        <f t="shared" si="9"/>
        <v/>
      </c>
      <c r="AN38" s="113"/>
    </row>
    <row r="39" spans="1:40" x14ac:dyDescent="0.3">
      <c r="T39" s="213"/>
      <c r="U39" s="214"/>
      <c r="V39" s="213"/>
      <c r="AC39" s="248"/>
      <c r="AD39" s="31" t="s">
        <v>59</v>
      </c>
      <c r="AE39" s="235">
        <f>VLOOKUP(AE37,LIST!$A$231:$F$236,MATCH($Y$3,LIST!$A$229:$F$229,1),FALSE)</f>
        <v>0.94</v>
      </c>
      <c r="AF39" s="575"/>
      <c r="AG39" s="266">
        <v>27</v>
      </c>
      <c r="AH39" s="244" t="str">
        <f>IFERROR(VLOOKUP(AG39&amp;"-"&amp;$D$7,'CUST DATAB'!B:E,3,FALSE),"")</f>
        <v/>
      </c>
      <c r="AI39" s="248" t="str">
        <f>IFERROR(VLOOKUP(AG39&amp;"-"&amp;$D$7,'CUST DATAB'!B:E,4,FALSE),"")</f>
        <v/>
      </c>
      <c r="AJ39" s="246" t="str">
        <f>IFERROR(IF(VLOOKUP($AH39,$AC$13:$AF$35,4,FALSE)&lt;&gt;0,IF(AI39&lt;&gt;"",VLOOKUP(AI39,'CUST DATAB'!E:F,2,FALSE),""),""),"")</f>
        <v/>
      </c>
      <c r="AK39" s="246" t="str">
        <f t="shared" si="8"/>
        <v/>
      </c>
      <c r="AL39" s="247" t="str">
        <f t="shared" si="7"/>
        <v/>
      </c>
      <c r="AM39" s="247" t="str">
        <f t="shared" si="9"/>
        <v/>
      </c>
      <c r="AN39" s="113"/>
    </row>
    <row r="40" spans="1:40" ht="15" thickBot="1" x14ac:dyDescent="0.35">
      <c r="T40" s="213"/>
      <c r="U40" s="214"/>
      <c r="V40" s="213"/>
      <c r="AC40" s="248"/>
      <c r="AD40" s="32" t="s">
        <v>62</v>
      </c>
      <c r="AE40" s="236" t="e">
        <f>+$Y$14+SUM($AA$21:$AA$32)+AE38+AE39</f>
        <v>#N/A</v>
      </c>
      <c r="AF40" s="576"/>
      <c r="AG40" s="266">
        <v>28</v>
      </c>
      <c r="AH40" s="244" t="str">
        <f>IFERROR(VLOOKUP(AG40&amp;"-"&amp;$D$7,'CUST DATAB'!B:E,3,FALSE),"")</f>
        <v/>
      </c>
      <c r="AI40" s="248" t="str">
        <f>IFERROR(VLOOKUP(AG40&amp;"-"&amp;$D$7,'CUST DATAB'!B:E,4,FALSE),"")</f>
        <v/>
      </c>
      <c r="AJ40" s="246" t="str">
        <f>IFERROR(IF(VLOOKUP($AH40,$AC$13:$AF$35,4,FALSE)&lt;&gt;0,IF(AI40&lt;&gt;"",VLOOKUP(AI40,'CUST DATAB'!E:F,2,FALSE),""),""),"")</f>
        <v/>
      </c>
      <c r="AK40" s="246" t="str">
        <f t="shared" si="8"/>
        <v/>
      </c>
      <c r="AL40" s="247" t="str">
        <f t="shared" si="7"/>
        <v/>
      </c>
      <c r="AM40" s="247" t="str">
        <f t="shared" si="9"/>
        <v/>
      </c>
      <c r="AN40" s="113"/>
    </row>
    <row r="41" spans="1:40" x14ac:dyDescent="0.3">
      <c r="T41" s="213"/>
      <c r="U41" s="214"/>
      <c r="V41" s="213"/>
      <c r="AC41" s="248"/>
      <c r="AG41" s="266">
        <v>29</v>
      </c>
      <c r="AH41" s="244" t="str">
        <f>IFERROR(VLOOKUP(AG41&amp;"-"&amp;$D$7,'CUST DATAB'!B:E,3,FALSE),"")</f>
        <v/>
      </c>
      <c r="AI41" s="248" t="str">
        <f>IFERROR(VLOOKUP(AG41&amp;"-"&amp;$D$7,'CUST DATAB'!B:E,4,FALSE),"")</f>
        <v/>
      </c>
      <c r="AJ41" s="246" t="str">
        <f>IFERROR(IF(VLOOKUP($AH41,$AC$13:$AF$35,4,FALSE)&lt;&gt;0,IF(AI41&lt;&gt;"",VLOOKUP(AI41,'CUST DATAB'!E:F,2,FALSE),""),""),"")</f>
        <v/>
      </c>
      <c r="AK41" s="246" t="str">
        <f t="shared" si="8"/>
        <v/>
      </c>
      <c r="AL41" s="247" t="str">
        <f t="shared" si="7"/>
        <v/>
      </c>
      <c r="AM41" s="247" t="str">
        <f t="shared" si="9"/>
        <v/>
      </c>
      <c r="AN41" s="113"/>
    </row>
    <row r="42" spans="1:40" x14ac:dyDescent="0.3">
      <c r="T42" s="213"/>
      <c r="U42" s="214"/>
      <c r="V42" s="213"/>
      <c r="AG42" s="266">
        <v>30</v>
      </c>
      <c r="AH42" s="244" t="str">
        <f>IFERROR(VLOOKUP(AG42&amp;"-"&amp;$D$7,'CUST DATAB'!B:E,3,FALSE),"")</f>
        <v/>
      </c>
      <c r="AI42" s="248" t="str">
        <f>IFERROR(VLOOKUP(AG42&amp;"-"&amp;$D$7,'CUST DATAB'!B:E,4,FALSE),"")</f>
        <v/>
      </c>
      <c r="AJ42" s="246" t="str">
        <f>IFERROR(IF(VLOOKUP($AH42,$AC$13:$AF$35,4,FALSE)&lt;&gt;0,IF(AI42&lt;&gt;"",VLOOKUP(AI42,'CUST DATAB'!E:F,2,FALSE),""),""),"")</f>
        <v/>
      </c>
      <c r="AK42" s="246" t="str">
        <f t="shared" si="8"/>
        <v/>
      </c>
      <c r="AL42" s="247" t="str">
        <f t="shared" si="7"/>
        <v/>
      </c>
      <c r="AM42" s="247" t="str">
        <f t="shared" si="9"/>
        <v/>
      </c>
      <c r="AN42" s="113"/>
    </row>
    <row r="43" spans="1:40" x14ac:dyDescent="0.3">
      <c r="T43" s="213"/>
      <c r="U43" s="214"/>
      <c r="V43" s="213"/>
      <c r="AG43" s="266">
        <v>31</v>
      </c>
      <c r="AH43" s="244" t="str">
        <f>IFERROR(VLOOKUP(AG43&amp;"-"&amp;$D$7,'CUST DATAB'!B:E,3,FALSE),"")</f>
        <v/>
      </c>
      <c r="AI43" s="248" t="str">
        <f>IFERROR(VLOOKUP(AG43&amp;"-"&amp;$D$7,'CUST DATAB'!B:E,4,FALSE),"")</f>
        <v/>
      </c>
      <c r="AJ43" s="246" t="str">
        <f>IFERROR(IF(VLOOKUP($AH43,$AC$13:$AF$35,4,FALSE)&lt;&gt;0,IF(AI43&lt;&gt;"",VLOOKUP(AI43,'CUST DATAB'!E:F,2,FALSE),""),""),"")</f>
        <v/>
      </c>
      <c r="AK43" s="246" t="str">
        <f t="shared" si="8"/>
        <v/>
      </c>
      <c r="AL43" s="247" t="str">
        <f t="shared" si="7"/>
        <v/>
      </c>
      <c r="AM43" s="247" t="str">
        <f t="shared" si="9"/>
        <v/>
      </c>
      <c r="AN43" s="113"/>
    </row>
    <row r="44" spans="1:40" x14ac:dyDescent="0.3">
      <c r="T44" s="213"/>
      <c r="U44" s="214"/>
      <c r="V44" s="213"/>
      <c r="AG44" s="266">
        <v>32</v>
      </c>
      <c r="AH44" s="244" t="str">
        <f>IFERROR(VLOOKUP(AG44&amp;"-"&amp;$D$7,'CUST DATAB'!B:E,3,FALSE),"")</f>
        <v/>
      </c>
      <c r="AI44" s="248" t="str">
        <f>IFERROR(VLOOKUP(AG44&amp;"-"&amp;$D$7,'CUST DATAB'!B:E,4,FALSE),"")</f>
        <v/>
      </c>
      <c r="AJ44" s="246" t="str">
        <f>IFERROR(IF(VLOOKUP($AH44,$AC$13:$AF$35,4,FALSE)&lt;&gt;0,IF(AI44&lt;&gt;"",VLOOKUP(AI44,'CUST DATAB'!E:F,2,FALSE),""),""),"")</f>
        <v/>
      </c>
      <c r="AK44" s="246" t="str">
        <f t="shared" si="8"/>
        <v/>
      </c>
      <c r="AL44" s="247" t="str">
        <f t="shared" si="7"/>
        <v/>
      </c>
      <c r="AM44" s="247" t="str">
        <f t="shared" si="9"/>
        <v/>
      </c>
      <c r="AN44" s="113"/>
    </row>
    <row r="45" spans="1:40" x14ac:dyDescent="0.3">
      <c r="T45" s="213"/>
      <c r="U45" s="214"/>
      <c r="V45" s="213"/>
      <c r="AG45" s="266">
        <v>33</v>
      </c>
      <c r="AH45" s="244" t="str">
        <f>IFERROR(VLOOKUP(AG45&amp;"-"&amp;$D$7,'CUST DATAB'!B:E,3,FALSE),"")</f>
        <v/>
      </c>
      <c r="AI45" s="248" t="str">
        <f>IFERROR(VLOOKUP(AG45&amp;"-"&amp;$D$7,'CUST DATAB'!B:E,4,FALSE),"")</f>
        <v/>
      </c>
      <c r="AJ45" s="246" t="str">
        <f>IFERROR(IF(VLOOKUP($AH45,$AC$13:$AF$35,4,FALSE)&lt;&gt;0,IF(AI45&lt;&gt;"",VLOOKUP(AI45,'CUST DATAB'!E:F,2,FALSE),""),""),"")</f>
        <v/>
      </c>
      <c r="AK45" s="246" t="str">
        <f t="shared" si="8"/>
        <v/>
      </c>
      <c r="AL45" s="247" t="str">
        <f t="shared" si="7"/>
        <v/>
      </c>
      <c r="AM45" s="247" t="str">
        <f t="shared" si="9"/>
        <v/>
      </c>
      <c r="AN45" s="113"/>
    </row>
    <row r="46" spans="1:40" x14ac:dyDescent="0.3">
      <c r="T46" s="213"/>
      <c r="U46" s="214"/>
      <c r="V46" s="213"/>
      <c r="AG46" s="266">
        <v>34</v>
      </c>
      <c r="AH46" s="244" t="str">
        <f>IFERROR(VLOOKUP(AG46&amp;"-"&amp;$D$7,'CUST DATAB'!B:E,3,FALSE),"")</f>
        <v/>
      </c>
      <c r="AI46" s="248" t="str">
        <f>IFERROR(VLOOKUP(AG46&amp;"-"&amp;$D$7,'CUST DATAB'!B:E,4,FALSE),"")</f>
        <v/>
      </c>
      <c r="AJ46" s="246" t="str">
        <f>IFERROR(IF(VLOOKUP($AH46,$AC$13:$AF$35,4,FALSE)&lt;&gt;0,IF(AI46&lt;&gt;"",VLOOKUP(AI46,'CUST DATAB'!E:F,2,FALSE),""),""),"")</f>
        <v/>
      </c>
      <c r="AK46" s="246" t="str">
        <f t="shared" si="8"/>
        <v/>
      </c>
      <c r="AL46" s="247" t="str">
        <f t="shared" si="7"/>
        <v/>
      </c>
      <c r="AM46" s="247" t="str">
        <f t="shared" si="9"/>
        <v/>
      </c>
      <c r="AN46" s="113"/>
    </row>
    <row r="47" spans="1:40" x14ac:dyDescent="0.3">
      <c r="T47" s="213"/>
      <c r="U47" s="214"/>
      <c r="V47" s="213"/>
      <c r="AG47" s="266">
        <v>35</v>
      </c>
      <c r="AH47" s="244" t="str">
        <f>IFERROR(VLOOKUP(AG47&amp;"-"&amp;$D$7,'CUST DATAB'!B:E,3,FALSE),"")</f>
        <v/>
      </c>
      <c r="AI47" s="248" t="str">
        <f>IFERROR(VLOOKUP(AG47&amp;"-"&amp;$D$7,'CUST DATAB'!B:E,4,FALSE),"")</f>
        <v/>
      </c>
      <c r="AJ47" s="246" t="str">
        <f>IFERROR(IF(VLOOKUP($AH47,$AC$13:$AF$35,4,FALSE)&lt;&gt;0,IF(AI47&lt;&gt;"",VLOOKUP(AI47,'CUST DATAB'!E:F,2,FALSE),""),""),"")</f>
        <v/>
      </c>
      <c r="AK47" s="246" t="str">
        <f t="shared" si="8"/>
        <v/>
      </c>
      <c r="AL47" s="247" t="str">
        <f t="shared" si="7"/>
        <v/>
      </c>
      <c r="AM47" s="247" t="str">
        <f t="shared" si="9"/>
        <v/>
      </c>
      <c r="AN47" s="113"/>
    </row>
    <row r="48" spans="1:40" x14ac:dyDescent="0.3">
      <c r="T48" s="213"/>
      <c r="U48" s="214"/>
      <c r="V48" s="213"/>
      <c r="AG48" s="266">
        <v>36</v>
      </c>
      <c r="AH48" s="244" t="str">
        <f>IFERROR(VLOOKUP(AG48&amp;"-"&amp;$D$7,'CUST DATAB'!B:E,3,FALSE),"")</f>
        <v/>
      </c>
      <c r="AI48" s="248" t="str">
        <f>IFERROR(VLOOKUP(AG48&amp;"-"&amp;$D$7,'CUST DATAB'!B:E,4,FALSE),"")</f>
        <v/>
      </c>
      <c r="AJ48" s="246" t="str">
        <f>IFERROR(IF(VLOOKUP($AH48,$AC$13:$AF$35,4,FALSE)&lt;&gt;0,IF(AI48&lt;&gt;"",VLOOKUP(AI48,'CUST DATAB'!E:F,2,FALSE),""),""),"")</f>
        <v/>
      </c>
      <c r="AK48" s="246" t="str">
        <f t="shared" si="8"/>
        <v/>
      </c>
      <c r="AL48" s="247" t="str">
        <f t="shared" si="7"/>
        <v/>
      </c>
      <c r="AM48" s="247" t="str">
        <f t="shared" si="9"/>
        <v/>
      </c>
      <c r="AN48" s="113"/>
    </row>
    <row r="49" spans="20:40" x14ac:dyDescent="0.3">
      <c r="T49" s="213"/>
      <c r="U49" s="214"/>
      <c r="V49" s="213"/>
      <c r="AG49" s="266">
        <v>37</v>
      </c>
      <c r="AH49" s="244" t="str">
        <f>IFERROR(VLOOKUP(AG49&amp;"-"&amp;$D$7,'CUST DATAB'!B:E,3,FALSE),"")</f>
        <v/>
      </c>
      <c r="AI49" s="248" t="str">
        <f>IFERROR(VLOOKUP(AG49&amp;"-"&amp;$D$7,'CUST DATAB'!B:E,4,FALSE),"")</f>
        <v/>
      </c>
      <c r="AJ49" s="246" t="str">
        <f>IFERROR(IF(VLOOKUP($AH49,$AC$13:$AF$35,4,FALSE)&lt;&gt;0,IF(AI49&lt;&gt;"",VLOOKUP(AI49,'CUST DATAB'!E:F,2,FALSE),""),""),"")</f>
        <v/>
      </c>
      <c r="AK49" s="246" t="str">
        <f t="shared" si="8"/>
        <v/>
      </c>
      <c r="AL49" s="247" t="str">
        <f t="shared" si="7"/>
        <v/>
      </c>
      <c r="AM49" s="247" t="str">
        <f t="shared" si="9"/>
        <v/>
      </c>
      <c r="AN49" s="113"/>
    </row>
    <row r="50" spans="20:40" x14ac:dyDescent="0.3">
      <c r="T50" s="213"/>
      <c r="U50" s="214"/>
      <c r="V50" s="213"/>
      <c r="AG50" s="266">
        <v>38</v>
      </c>
      <c r="AH50" s="244" t="str">
        <f>IFERROR(VLOOKUP(AG50&amp;"-"&amp;$D$7,'CUST DATAB'!B:E,3,FALSE),"")</f>
        <v/>
      </c>
      <c r="AI50" s="248" t="str">
        <f>IFERROR(VLOOKUP(AG50&amp;"-"&amp;$D$7,'CUST DATAB'!B:E,4,FALSE),"")</f>
        <v/>
      </c>
      <c r="AJ50" s="246" t="str">
        <f>IFERROR(IF(VLOOKUP($AH50,$AC$13:$AF$35,4,FALSE)&lt;&gt;0,IF(AI50&lt;&gt;"",VLOOKUP(AI50,'CUST DATAB'!E:F,2,FALSE),""),""),"")</f>
        <v/>
      </c>
      <c r="AK50" s="246" t="str">
        <f t="shared" si="8"/>
        <v/>
      </c>
      <c r="AL50" s="247" t="str">
        <f t="shared" si="7"/>
        <v/>
      </c>
      <c r="AM50" s="247" t="str">
        <f t="shared" si="9"/>
        <v/>
      </c>
      <c r="AN50" s="113"/>
    </row>
    <row r="51" spans="20:40" x14ac:dyDescent="0.3">
      <c r="T51" s="213"/>
      <c r="U51" s="214"/>
      <c r="V51" s="213"/>
      <c r="AG51" s="266">
        <v>39</v>
      </c>
      <c r="AH51" s="244" t="str">
        <f>IFERROR(VLOOKUP(AG51&amp;"-"&amp;$D$7,'CUST DATAB'!B:E,3,FALSE),"")</f>
        <v/>
      </c>
      <c r="AI51" s="248" t="str">
        <f>IFERROR(VLOOKUP(AG51&amp;"-"&amp;$D$7,'CUST DATAB'!B:E,4,FALSE),"")</f>
        <v/>
      </c>
      <c r="AJ51" s="246" t="str">
        <f>IFERROR(IF(VLOOKUP($AH51,$AC$13:$AF$35,4,FALSE)&lt;&gt;0,IF(AI51&lt;&gt;"",VLOOKUP(AI51,'CUST DATAB'!E:F,2,FALSE),""),""),"")</f>
        <v/>
      </c>
      <c r="AK51" s="246" t="str">
        <f t="shared" si="8"/>
        <v/>
      </c>
      <c r="AL51" s="247" t="str">
        <f t="shared" si="7"/>
        <v/>
      </c>
      <c r="AM51" s="247" t="str">
        <f t="shared" si="9"/>
        <v/>
      </c>
      <c r="AN51" s="113"/>
    </row>
    <row r="52" spans="20:40" x14ac:dyDescent="0.3">
      <c r="T52" s="213"/>
      <c r="U52" s="214"/>
      <c r="V52" s="213"/>
      <c r="AG52" s="266">
        <v>40</v>
      </c>
      <c r="AH52" s="244" t="str">
        <f>IFERROR(VLOOKUP(AG52&amp;"-"&amp;$D$7,'CUST DATAB'!B:E,3,FALSE),"")</f>
        <v/>
      </c>
      <c r="AI52" s="248" t="str">
        <f>IFERROR(VLOOKUP(AG52&amp;"-"&amp;$D$7,'CUST DATAB'!B:E,4,FALSE),"")</f>
        <v/>
      </c>
      <c r="AJ52" s="246" t="str">
        <f>IFERROR(IF(VLOOKUP($AH52,$AC$13:$AF$35,4,FALSE)&lt;&gt;0,IF(AI52&lt;&gt;"",VLOOKUP(AI52,'CUST DATAB'!E:F,2,FALSE),""),""),"")</f>
        <v/>
      </c>
      <c r="AK52" s="246" t="str">
        <f t="shared" si="8"/>
        <v/>
      </c>
      <c r="AL52" s="247" t="str">
        <f t="shared" si="7"/>
        <v/>
      </c>
      <c r="AM52" s="247" t="str">
        <f t="shared" si="9"/>
        <v/>
      </c>
      <c r="AN52" s="113"/>
    </row>
    <row r="53" spans="20:40" x14ac:dyDescent="0.3">
      <c r="T53" s="213"/>
      <c r="U53" s="214"/>
      <c r="V53" s="213"/>
      <c r="AG53" s="266">
        <v>41</v>
      </c>
      <c r="AH53" s="244" t="str">
        <f>IFERROR(VLOOKUP(AG53&amp;"-"&amp;$D$7,'CUST DATAB'!B:E,3,FALSE),"")</f>
        <v/>
      </c>
      <c r="AI53" s="248" t="str">
        <f>IFERROR(VLOOKUP(AG53&amp;"-"&amp;$D$7,'CUST DATAB'!B:E,4,FALSE),"")</f>
        <v/>
      </c>
      <c r="AJ53" s="246" t="str">
        <f>IFERROR(IF(VLOOKUP($AH53,$AC$13:$AF$35,4,FALSE)&lt;&gt;0,IF(AI53&lt;&gt;"",VLOOKUP(AI53,'CUST DATAB'!E:F,2,FALSE),""),""),"")</f>
        <v/>
      </c>
      <c r="AK53" s="246" t="str">
        <f t="shared" si="8"/>
        <v/>
      </c>
      <c r="AL53" s="247" t="str">
        <f t="shared" si="7"/>
        <v/>
      </c>
      <c r="AM53" s="247" t="str">
        <f t="shared" si="9"/>
        <v/>
      </c>
      <c r="AN53" s="113"/>
    </row>
    <row r="54" spans="20:40" x14ac:dyDescent="0.3">
      <c r="T54" s="213"/>
      <c r="U54" s="214"/>
      <c r="V54" s="213"/>
      <c r="AG54" s="266">
        <v>42</v>
      </c>
      <c r="AH54" s="1" t="str">
        <f>IFERROR(VLOOKUP(AG54&amp;"-"&amp;$D$7,'CUST DATAB'!B:E,3,FALSE),"")</f>
        <v/>
      </c>
      <c r="AI54" t="str">
        <f>IFERROR(VLOOKUP(AG54&amp;"-"&amp;$D$7,'CUST DATAB'!B:E,4,FALSE),"")</f>
        <v/>
      </c>
      <c r="AJ54" s="60" t="str">
        <f>IFERROR(IF(VLOOKUP($AH54,$AC$13:$AF$35,4,FALSE)&lt;&gt;0,IF(AI54&lt;&gt;"",VLOOKUP(AI54,'CUST DATAB'!E:F,2,FALSE),""),""),"")</f>
        <v/>
      </c>
      <c r="AK54" s="60" t="str">
        <f t="shared" si="8"/>
        <v/>
      </c>
      <c r="AL54" s="62" t="str">
        <f t="shared" si="7"/>
        <v/>
      </c>
      <c r="AM54" s="62" t="str">
        <f t="shared" si="9"/>
        <v/>
      </c>
      <c r="AN54" s="113"/>
    </row>
    <row r="55" spans="20:40" x14ac:dyDescent="0.3">
      <c r="AG55" s="266"/>
      <c r="AH55" s="1"/>
      <c r="AI55"/>
      <c r="AJ55" s="60"/>
      <c r="AK55" s="60"/>
      <c r="AL55" s="60"/>
    </row>
    <row r="56" spans="20:40" x14ac:dyDescent="0.3">
      <c r="AG56" s="266"/>
      <c r="AH56" s="1"/>
      <c r="AI56"/>
      <c r="AJ56" s="60"/>
      <c r="AK56" s="60"/>
      <c r="AL56" s="60"/>
    </row>
    <row r="57" spans="20:40" x14ac:dyDescent="0.3">
      <c r="AG57" s="266"/>
      <c r="AH57" s="1"/>
      <c r="AI57"/>
      <c r="AJ57" s="60"/>
      <c r="AK57" s="60"/>
      <c r="AL57" s="60"/>
    </row>
    <row r="58" spans="20:40" x14ac:dyDescent="0.3">
      <c r="AG58" s="266"/>
      <c r="AH58" s="1"/>
      <c r="AI58"/>
      <c r="AJ58" s="61"/>
      <c r="AK58" s="61"/>
      <c r="AL58" s="61"/>
    </row>
    <row r="59" spans="20:40" x14ac:dyDescent="0.3">
      <c r="AG59" s="266"/>
      <c r="AH59" s="1"/>
      <c r="AI59"/>
      <c r="AJ59" s="61"/>
      <c r="AK59" s="61"/>
      <c r="AL59" s="61"/>
    </row>
    <row r="60" spans="20:40" x14ac:dyDescent="0.3">
      <c r="AG60" s="266"/>
      <c r="AH60" s="1"/>
      <c r="AI60"/>
      <c r="AJ60" s="61"/>
      <c r="AK60" s="61"/>
      <c r="AL60" s="61"/>
    </row>
    <row r="61" spans="20:40" x14ac:dyDescent="0.3">
      <c r="AG61" s="266"/>
      <c r="AH61" s="1"/>
      <c r="AI61"/>
    </row>
    <row r="62" spans="20:40" x14ac:dyDescent="0.3">
      <c r="AG62" s="266"/>
      <c r="AH62" s="1"/>
      <c r="AI62"/>
    </row>
    <row r="63" spans="20:40" x14ac:dyDescent="0.3">
      <c r="AG63" s="266"/>
      <c r="AH63" s="1"/>
      <c r="AI63"/>
    </row>
    <row r="64" spans="20:40" x14ac:dyDescent="0.3">
      <c r="AG64" s="266"/>
      <c r="AH64" s="1"/>
      <c r="AI64"/>
    </row>
    <row r="65" spans="33:35" x14ac:dyDescent="0.3">
      <c r="AG65" s="266"/>
      <c r="AH65" s="1"/>
      <c r="AI65"/>
    </row>
    <row r="66" spans="33:35" x14ac:dyDescent="0.3">
      <c r="AG66" s="266"/>
      <c r="AH66" s="1"/>
      <c r="AI66"/>
    </row>
    <row r="67" spans="33:35" x14ac:dyDescent="0.3">
      <c r="AG67" s="266"/>
      <c r="AH67" s="1"/>
      <c r="AI67"/>
    </row>
    <row r="68" spans="33:35" x14ac:dyDescent="0.3">
      <c r="AG68" s="266"/>
      <c r="AH68" s="1"/>
      <c r="AI68"/>
    </row>
    <row r="69" spans="33:35" x14ac:dyDescent="0.3">
      <c r="AG69" s="266"/>
      <c r="AH69" s="1"/>
      <c r="AI69"/>
    </row>
    <row r="70" spans="33:35" x14ac:dyDescent="0.3">
      <c r="AG70" s="266"/>
      <c r="AH70" s="1"/>
      <c r="AI70"/>
    </row>
    <row r="71" spans="33:35" x14ac:dyDescent="0.3">
      <c r="AG71" s="266"/>
      <c r="AH71" s="1"/>
      <c r="AI71"/>
    </row>
    <row r="72" spans="33:35" x14ac:dyDescent="0.3">
      <c r="AG72" s="266"/>
      <c r="AH72" s="1"/>
      <c r="AI72"/>
    </row>
    <row r="73" spans="33:35" x14ac:dyDescent="0.3">
      <c r="AG73" s="266"/>
      <c r="AH73" s="1"/>
      <c r="AI73"/>
    </row>
    <row r="74" spans="33:35" x14ac:dyDescent="0.3">
      <c r="AG74" s="266"/>
      <c r="AH74" s="1"/>
      <c r="AI74"/>
    </row>
    <row r="75" spans="33:35" x14ac:dyDescent="0.3">
      <c r="AG75" s="266"/>
      <c r="AH75" s="1"/>
      <c r="AI75"/>
    </row>
    <row r="76" spans="33:35" x14ac:dyDescent="0.3">
      <c r="AG76" s="266"/>
      <c r="AH76" s="1"/>
      <c r="AI76"/>
    </row>
    <row r="77" spans="33:35" x14ac:dyDescent="0.3">
      <c r="AG77" s="266"/>
      <c r="AH77" s="1"/>
      <c r="AI77"/>
    </row>
    <row r="78" spans="33:35" x14ac:dyDescent="0.3">
      <c r="AG78" s="266"/>
      <c r="AH78" s="1"/>
      <c r="AI78"/>
    </row>
    <row r="79" spans="33:35" x14ac:dyDescent="0.3">
      <c r="AG79" s="266"/>
      <c r="AH79" s="1"/>
      <c r="AI79"/>
    </row>
    <row r="80" spans="33:35" x14ac:dyDescent="0.3">
      <c r="AG80" s="266"/>
      <c r="AH80" s="1"/>
      <c r="AI80"/>
    </row>
    <row r="81" spans="33:35" x14ac:dyDescent="0.3">
      <c r="AG81" s="266"/>
      <c r="AH81" s="1"/>
      <c r="AI81"/>
    </row>
    <row r="82" spans="33:35" x14ac:dyDescent="0.3">
      <c r="AG82" s="266"/>
      <c r="AH82" s="1"/>
      <c r="AI82"/>
    </row>
    <row r="83" spans="33:35" x14ac:dyDescent="0.3">
      <c r="AG83" s="266"/>
      <c r="AH83" s="1"/>
      <c r="AI83"/>
    </row>
    <row r="84" spans="33:35" x14ac:dyDescent="0.3">
      <c r="AG84" s="266"/>
      <c r="AH84" s="1"/>
      <c r="AI84"/>
    </row>
    <row r="85" spans="33:35" x14ac:dyDescent="0.3">
      <c r="AG85" s="266"/>
      <c r="AH85" s="1"/>
      <c r="AI85"/>
    </row>
    <row r="86" spans="33:35" x14ac:dyDescent="0.3">
      <c r="AG86" s="266"/>
      <c r="AH86" s="1"/>
      <c r="AI86"/>
    </row>
    <row r="87" spans="33:35" x14ac:dyDescent="0.3">
      <c r="AG87" s="266"/>
      <c r="AH87" s="1"/>
      <c r="AI87"/>
    </row>
    <row r="88" spans="33:35" x14ac:dyDescent="0.3">
      <c r="AG88" s="266"/>
      <c r="AH88" s="1"/>
      <c r="AI88"/>
    </row>
    <row r="89" spans="33:35" x14ac:dyDescent="0.3">
      <c r="AG89" s="266"/>
      <c r="AH89" s="1"/>
      <c r="AI89"/>
    </row>
    <row r="90" spans="33:35" x14ac:dyDescent="0.3">
      <c r="AG90" s="266"/>
      <c r="AH90" s="1"/>
      <c r="AI90"/>
    </row>
    <row r="91" spans="33:35" x14ac:dyDescent="0.3">
      <c r="AG91" s="266"/>
      <c r="AH91" s="1"/>
      <c r="AI91"/>
    </row>
    <row r="92" spans="33:35" x14ac:dyDescent="0.3">
      <c r="AG92" s="266"/>
      <c r="AH92" s="1"/>
      <c r="AI92"/>
    </row>
    <row r="93" spans="33:35" x14ac:dyDescent="0.3">
      <c r="AG93" s="266"/>
      <c r="AH93" s="1"/>
      <c r="AI93"/>
    </row>
    <row r="94" spans="33:35" x14ac:dyDescent="0.3">
      <c r="AG94" s="266"/>
      <c r="AH94" s="1"/>
      <c r="AI94"/>
    </row>
    <row r="95" spans="33:35" x14ac:dyDescent="0.3">
      <c r="AG95" s="266"/>
      <c r="AH95" s="1"/>
      <c r="AI95"/>
    </row>
    <row r="96" spans="33:35" x14ac:dyDescent="0.3">
      <c r="AG96" s="266"/>
      <c r="AH96" s="1"/>
      <c r="AI96"/>
    </row>
    <row r="97" spans="33:35" x14ac:dyDescent="0.3">
      <c r="AG97" s="266"/>
      <c r="AH97" s="1"/>
      <c r="AI97"/>
    </row>
    <row r="98" spans="33:35" x14ac:dyDescent="0.3">
      <c r="AG98" s="266"/>
      <c r="AH98" s="1"/>
      <c r="AI98"/>
    </row>
    <row r="99" spans="33:35" x14ac:dyDescent="0.3">
      <c r="AG99" s="266"/>
      <c r="AH99" s="1"/>
      <c r="AI99"/>
    </row>
    <row r="100" spans="33:35" x14ac:dyDescent="0.3">
      <c r="AG100" s="266"/>
      <c r="AH100" s="1"/>
      <c r="AI100"/>
    </row>
    <row r="101" spans="33:35" x14ac:dyDescent="0.3">
      <c r="AG101" s="266"/>
      <c r="AH101" s="1"/>
      <c r="AI101"/>
    </row>
    <row r="102" spans="33:35" x14ac:dyDescent="0.3">
      <c r="AG102" s="266"/>
      <c r="AH102" s="1"/>
      <c r="AI102"/>
    </row>
    <row r="103" spans="33:35" x14ac:dyDescent="0.3">
      <c r="AG103" s="266"/>
      <c r="AH103" s="1"/>
      <c r="AI103"/>
    </row>
    <row r="104" spans="33:35" x14ac:dyDescent="0.3">
      <c r="AG104" s="266"/>
      <c r="AH104" s="1"/>
      <c r="AI104"/>
    </row>
    <row r="105" spans="33:35" x14ac:dyDescent="0.3">
      <c r="AG105" s="266"/>
      <c r="AH105" s="1"/>
      <c r="AI105"/>
    </row>
    <row r="106" spans="33:35" x14ac:dyDescent="0.3">
      <c r="AG106" s="266"/>
      <c r="AH106" s="1"/>
      <c r="AI106"/>
    </row>
    <row r="107" spans="33:35" x14ac:dyDescent="0.3">
      <c r="AG107" s="266"/>
      <c r="AH107" s="1"/>
      <c r="AI107"/>
    </row>
    <row r="108" spans="33:35" x14ac:dyDescent="0.3">
      <c r="AG108" s="266"/>
      <c r="AH108" s="1"/>
      <c r="AI108"/>
    </row>
    <row r="109" spans="33:35" x14ac:dyDescent="0.3">
      <c r="AG109" s="266"/>
      <c r="AH109" s="1"/>
      <c r="AI109"/>
    </row>
    <row r="110" spans="33:35" x14ac:dyDescent="0.3">
      <c r="AG110" s="266"/>
      <c r="AH110" s="1"/>
      <c r="AI110"/>
    </row>
    <row r="111" spans="33:35" x14ac:dyDescent="0.3">
      <c r="AG111" s="266"/>
      <c r="AH111" s="1"/>
      <c r="AI111"/>
    </row>
    <row r="112" spans="33:35" x14ac:dyDescent="0.3">
      <c r="AG112" s="266"/>
      <c r="AH112" s="1"/>
      <c r="AI112"/>
    </row>
    <row r="113" spans="33:35" x14ac:dyDescent="0.3">
      <c r="AG113" s="266"/>
      <c r="AH113" s="1"/>
      <c r="AI113"/>
    </row>
    <row r="114" spans="33:35" x14ac:dyDescent="0.3">
      <c r="AG114" s="55"/>
      <c r="AH114" s="1"/>
      <c r="AI114"/>
    </row>
    <row r="115" spans="33:35" x14ac:dyDescent="0.3">
      <c r="AG115" s="55"/>
      <c r="AH115" s="1"/>
      <c r="AI115"/>
    </row>
    <row r="116" spans="33:35" x14ac:dyDescent="0.3">
      <c r="AG116" s="55"/>
      <c r="AH116" s="1"/>
      <c r="AI116"/>
    </row>
    <row r="117" spans="33:35" x14ac:dyDescent="0.3">
      <c r="AG117" s="55"/>
      <c r="AH117" s="1"/>
      <c r="AI117"/>
    </row>
    <row r="118" spans="33:35" x14ac:dyDescent="0.3">
      <c r="AG118" s="55"/>
      <c r="AH118" s="1"/>
      <c r="AI118"/>
    </row>
    <row r="119" spans="33:35" x14ac:dyDescent="0.3">
      <c r="AG119" s="55"/>
      <c r="AH119" s="1"/>
      <c r="AI119"/>
    </row>
    <row r="120" spans="33:35" x14ac:dyDescent="0.3">
      <c r="AG120" s="55"/>
      <c r="AH120" s="1"/>
      <c r="AI120"/>
    </row>
    <row r="121" spans="33:35" x14ac:dyDescent="0.3">
      <c r="AG121" s="55"/>
      <c r="AH121" s="1"/>
      <c r="AI121"/>
    </row>
  </sheetData>
  <sheetProtection algorithmName="SHA-512" hashValue="kIh+FQgj8/Xz+roJ2iuQ/wm+bxW3ItJrGATkCmdcGKrFVxnyveJzHYrMWNZ0Jb1byysxMvDVBsbKOyE+B+Yoog==" saltValue="/GfW1hSwADbWeRUiw1qdDg==" spinCount="100000" sheet="1" objects="1" scenarios="1"/>
  <mergeCells count="34">
    <mergeCell ref="AF23:AF25"/>
    <mergeCell ref="AF28:AF30"/>
    <mergeCell ref="Y31:Z31"/>
    <mergeCell ref="AF33:AF35"/>
    <mergeCell ref="AF38:AF40"/>
    <mergeCell ref="AF18:AF20"/>
    <mergeCell ref="D6:G6"/>
    <mergeCell ref="D7:G7"/>
    <mergeCell ref="X7:X8"/>
    <mergeCell ref="Y7:Y8"/>
    <mergeCell ref="L8:L10"/>
    <mergeCell ref="M8:M10"/>
    <mergeCell ref="N8:N10"/>
    <mergeCell ref="O8:O10"/>
    <mergeCell ref="P8:P10"/>
    <mergeCell ref="Q8:Q10"/>
    <mergeCell ref="R8:R10"/>
    <mergeCell ref="S8:S10"/>
    <mergeCell ref="AA8:AC8"/>
    <mergeCell ref="AA9:AC9"/>
    <mergeCell ref="AF13:AF15"/>
    <mergeCell ref="AE3:AF4"/>
    <mergeCell ref="AG3:AH4"/>
    <mergeCell ref="AJ3:AJ4"/>
    <mergeCell ref="X5:X6"/>
    <mergeCell ref="Y5:Y6"/>
    <mergeCell ref="AA5:AC6"/>
    <mergeCell ref="AD5:AD6"/>
    <mergeCell ref="AD3:AD4"/>
    <mergeCell ref="C3:C4"/>
    <mergeCell ref="D3:G4"/>
    <mergeCell ref="X3:X4"/>
    <mergeCell ref="Y3:Y4"/>
    <mergeCell ref="AA3:AC4"/>
  </mergeCells>
  <conditionalFormatting sqref="B11:B35">
    <cfRule type="cellIs" dxfId="13" priority="8" stopIfTrue="1" operator="greaterThan">
      <formula>0</formula>
    </cfRule>
  </conditionalFormatting>
  <conditionalFormatting sqref="D11:D34">
    <cfRule type="expression" dxfId="12" priority="15">
      <formula>P11=TRUE</formula>
    </cfRule>
  </conditionalFormatting>
  <conditionalFormatting sqref="D35">
    <cfRule type="expression" dxfId="11" priority="12">
      <formula>P35=TRUE</formula>
    </cfRule>
  </conditionalFormatting>
  <conditionalFormatting sqref="E11:E35">
    <cfRule type="expression" dxfId="10" priority="1">
      <formula>Q11=TRUE</formula>
    </cfRule>
  </conditionalFormatting>
  <conditionalFormatting sqref="E35">
    <cfRule type="expression" dxfId="9" priority="11">
      <formula>Q35=TRUE</formula>
    </cfRule>
  </conditionalFormatting>
  <conditionalFormatting sqref="F11:F35">
    <cfRule type="expression" dxfId="8" priority="13">
      <formula>S11=TRUE</formula>
    </cfRule>
  </conditionalFormatting>
  <conditionalFormatting sqref="F35">
    <cfRule type="expression" dxfId="7" priority="10">
      <formula>S35=TRUE</formula>
    </cfRule>
  </conditionalFormatting>
  <conditionalFormatting sqref="I11:I35">
    <cfRule type="expression" dxfId="5" priority="4">
      <formula>OR(G11="USA",VLOOKUP(C11,FL_COST_COL,2,FALSE)="USA")</formula>
    </cfRule>
  </conditionalFormatting>
  <conditionalFormatting sqref="Y3:Y4">
    <cfRule type="expression" dxfId="4" priority="6">
      <formula>SUM($B$11:$B$35)&lt;=10</formula>
    </cfRule>
  </conditionalFormatting>
  <conditionalFormatting sqref="Z21:Z30">
    <cfRule type="cellIs" dxfId="3" priority="7" stopIfTrue="1" operator="equal">
      <formula>"y"</formula>
    </cfRule>
  </conditionalFormatting>
  <conditionalFormatting sqref="AD3:AD4">
    <cfRule type="expression" dxfId="2" priority="5">
      <formula>SUM($B$11:$B$35)&lt;=10</formula>
    </cfRule>
  </conditionalFormatting>
  <conditionalFormatting sqref="AH14:AH54">
    <cfRule type="expression" dxfId="1" priority="9">
      <formula>AH14=AH13</formula>
    </cfRule>
  </conditionalFormatting>
  <conditionalFormatting sqref="AM13:AM54">
    <cfRule type="expression" dxfId="0" priority="3">
      <formula>"IFERROR(VLOOKUP(AE17,$Z$13:$AC$35,4,FALSE),0)=0"</formula>
    </cfRule>
  </conditionalFormatting>
  <dataValidations count="6">
    <dataValidation showInputMessage="1" showErrorMessage="1" sqref="I11:I35" xr:uid="{7C12D5AA-3CC4-4C22-9E40-502DD2FFEAB7}"/>
    <dataValidation type="list" showInputMessage="1" showErrorMessage="1" sqref="H11:H35" xr:uid="{79468189-CDF3-4A4E-BB8D-AB027128E8BE}">
      <formula1>IF(AND(D11="Y",E11="Y"),INDIRECT("TNT_GLT_"&amp;C11),IF(D11="Y",INDIRECT("TNT_"&amp;C11),IF(E11="Y",INDIRECT("GLT_"&amp;C11),IF(F11="Y",INDIRECT("BC_"&amp;C11),INDIRECT(C11)))))</formula1>
    </dataValidation>
    <dataValidation type="list" allowBlank="1" showInputMessage="1" showErrorMessage="1" sqref="D6:G6" xr:uid="{D8E60595-FA9F-47F4-BCFB-C4066DB88483}">
      <formula1>HOLIDAY</formula1>
    </dataValidation>
    <dataValidation type="list" showInputMessage="1" showErrorMessage="1" sqref="C11:C35" xr:uid="{F9F7F58B-3B50-414E-BC25-7301F0681A44}">
      <formula1>IF(H11="",FLOWER,CLEAR_COLOR)</formula1>
    </dataValidation>
    <dataValidation type="list" allowBlank="1" showInputMessage="1" showErrorMessage="1" sqref="AF13:AF15 AF18:AF20 AF23:AF25 AF28:AF30 AF33:AF35 AF38:AF40" xr:uid="{B8EABA1F-372C-48FE-B974-37370560FA3A}">
      <formula1>"0%,5%,10%,15%,20%,25%,30%,35%,40%,45%,50%,55%,60%,65%,70%,75%,80%,85%,90%,100%"</formula1>
    </dataValidation>
    <dataValidation type="list" allowBlank="1" showInputMessage="1" showErrorMessage="1" sqref="G11:G35" xr:uid="{185B02BC-716C-481E-B619-384F2E26E640}">
      <formula1>"COL,USA"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9975DC6-9069-42FD-949F-DF81F3263ECD}">
            <xm:f>VLOOKUP(C11,'https://eliteflowersasci-my.sharepoint.com/Users/cmsalazar/Library/Containers/com.microsoft.Excel/Data/Documents/C:/Dropbox (Elite Flower)/My Documents/Supply Chain/[BQT QUOTE4.xlsx]PRICES COL'!#REF!,2,FALSE)="USA"</xm:f>
            <x14:dxf>
              <fill>
                <patternFill patternType="gray0625">
                  <fgColor theme="0" tint="-0.499984740745262"/>
                  <bgColor theme="4" tint="0.59996337778862885"/>
                </patternFill>
              </fill>
            </x14:dxf>
          </x14:cfRule>
          <xm:sqref>G11:G35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827A19-881A-4C79-8274-382B37A45A2C}">
          <x14:formula1>
            <xm:f>LIST!$A$130:$A$141</xm:f>
          </x14:formula1>
          <xm:sqref>Y31:Z31</xm:sqref>
        </x14:dataValidation>
        <x14:dataValidation type="list" allowBlank="1" showInputMessage="1" showErrorMessage="1" xr:uid="{A07B75B1-6F79-479E-B34F-EE863CCD14EC}">
          <x14:formula1>
            <xm:f>'CUST LIST'!$A$1:$A$52</xm:f>
          </x14:formula1>
          <xm:sqref>D7:G7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30"/>
  <sheetViews>
    <sheetView zoomScaleNormal="100" workbookViewId="0">
      <selection activeCell="O21" sqref="O21"/>
    </sheetView>
  </sheetViews>
  <sheetFormatPr defaultColWidth="9.109375" defaultRowHeight="14.4" x14ac:dyDescent="0.3"/>
  <cols>
    <col min="1" max="1" width="9.109375" style="333"/>
    <col min="2" max="2" width="20.44140625" style="225" customWidth="1"/>
    <col min="3" max="3" width="24.6640625" style="225" customWidth="1"/>
    <col min="4" max="4" width="13.44140625" style="357" customWidth="1"/>
    <col min="5" max="5" width="23.109375" style="357" customWidth="1"/>
    <col min="6" max="6" width="14.44140625" style="357" customWidth="1"/>
    <col min="7" max="7" width="13.44140625" style="225" customWidth="1"/>
    <col min="8" max="8" width="9.109375" style="225"/>
    <col min="9" max="9" width="14.44140625" style="225" customWidth="1"/>
    <col min="10" max="10" width="12.6640625" style="225" customWidth="1"/>
    <col min="11" max="13" width="9.109375" style="225"/>
    <col min="14" max="14" width="8.6640625" style="333" customWidth="1"/>
    <col min="15" max="15" width="8.6640625" style="368" customWidth="1"/>
    <col min="16" max="16" width="17.44140625" style="333" bestFit="1" customWidth="1"/>
    <col min="17" max="17" width="8.44140625" style="333" customWidth="1"/>
    <col min="18" max="36" width="8.6640625" style="333" customWidth="1"/>
    <col min="37" max="16384" width="9.109375" style="225"/>
  </cols>
  <sheetData>
    <row r="1" spans="2:15" s="333" customFormat="1" ht="24.6" x14ac:dyDescent="0.4">
      <c r="B1" s="329" t="s">
        <v>379</v>
      </c>
      <c r="C1" s="330"/>
      <c r="D1" s="331"/>
      <c r="E1" s="331"/>
      <c r="F1" s="331"/>
      <c r="G1" s="475" t="s">
        <v>380</v>
      </c>
      <c r="H1" s="476"/>
      <c r="I1" s="586" t="s">
        <v>381</v>
      </c>
      <c r="J1" s="587"/>
      <c r="K1" s="587"/>
      <c r="L1" s="588"/>
      <c r="M1" s="332"/>
      <c r="O1" s="368"/>
    </row>
    <row r="2" spans="2:15" s="333" customFormat="1" ht="18" thickBot="1" x14ac:dyDescent="0.35">
      <c r="B2" s="334"/>
      <c r="C2" s="335"/>
      <c r="D2" s="336"/>
      <c r="E2" s="336"/>
      <c r="F2" s="336"/>
      <c r="G2" s="480" t="s">
        <v>382</v>
      </c>
      <c r="H2" s="481"/>
      <c r="I2" s="482"/>
      <c r="J2" s="483"/>
      <c r="K2" s="483"/>
      <c r="L2" s="484"/>
      <c r="M2" s="337"/>
      <c r="O2" s="368"/>
    </row>
    <row r="3" spans="2:15" s="333" customFormat="1" ht="15.6" x14ac:dyDescent="0.3">
      <c r="B3" s="589" t="s">
        <v>383</v>
      </c>
      <c r="C3" s="590"/>
      <c r="D3" s="591"/>
      <c r="E3" s="592"/>
      <c r="F3" s="593"/>
      <c r="G3" s="475" t="s">
        <v>384</v>
      </c>
      <c r="H3" s="476"/>
      <c r="I3" s="490"/>
      <c r="J3" s="491"/>
      <c r="K3" s="491"/>
      <c r="L3" s="492"/>
      <c r="M3" s="332"/>
      <c r="O3" s="368"/>
    </row>
    <row r="4" spans="2:15" s="333" customFormat="1" ht="25.2" thickBot="1" x14ac:dyDescent="0.45">
      <c r="B4" s="451" t="e">
        <f>#REF!</f>
        <v>#REF!</v>
      </c>
      <c r="C4" s="452"/>
      <c r="D4" s="453"/>
      <c r="E4" s="85"/>
      <c r="F4" s="84"/>
      <c r="G4" s="338"/>
      <c r="H4" s="339"/>
      <c r="I4" s="335"/>
      <c r="J4" s="335"/>
      <c r="K4" s="335"/>
      <c r="L4" s="340">
        <f ca="1">NOW()</f>
        <v>46104.111169328702</v>
      </c>
      <c r="M4" s="341"/>
      <c r="O4" s="368"/>
    </row>
    <row r="5" spans="2:15" s="333" customFormat="1" ht="27" customHeight="1" x14ac:dyDescent="0.3">
      <c r="B5" s="342" t="s">
        <v>385</v>
      </c>
      <c r="C5" s="343" t="s">
        <v>386</v>
      </c>
      <c r="D5" s="344" t="s">
        <v>387</v>
      </c>
      <c r="E5" s="344" t="s">
        <v>388</v>
      </c>
      <c r="F5" s="345" t="s">
        <v>389</v>
      </c>
      <c r="G5" s="594" t="s">
        <v>390</v>
      </c>
      <c r="H5" s="594"/>
      <c r="I5" s="594"/>
      <c r="J5" s="594" t="s">
        <v>391</v>
      </c>
      <c r="K5" s="594"/>
      <c r="L5" s="594"/>
      <c r="M5" s="337"/>
      <c r="O5" s="368"/>
    </row>
    <row r="6" spans="2:15" s="333" customFormat="1" ht="16.2" thickBot="1" x14ac:dyDescent="0.35">
      <c r="B6" s="76"/>
      <c r="C6" s="363" t="e">
        <f>IF(ROUND(#REF!,0)&lt;&gt;ROUND(#REF!,0),"Cells AH2 &amp; AL4 (from REGULAR CHART sheet) MUST MATCH",MAX(#REF!,#REF!))</f>
        <v>#REF!</v>
      </c>
      <c r="D6" s="362" t="s">
        <v>392</v>
      </c>
      <c r="E6" s="75"/>
      <c r="F6" s="595"/>
      <c r="G6" s="598"/>
      <c r="H6" s="598"/>
      <c r="I6" s="598"/>
      <c r="J6" s="458" t="e">
        <f>IF(#REF!="Y",#REF!,#REF!)</f>
        <v>#REF!</v>
      </c>
      <c r="K6" s="458"/>
      <c r="L6" s="458"/>
      <c r="M6" s="337"/>
      <c r="O6" s="368"/>
    </row>
    <row r="7" spans="2:15" s="333" customFormat="1" ht="15" thickBot="1" x14ac:dyDescent="0.35">
      <c r="B7" s="599" t="s">
        <v>393</v>
      </c>
      <c r="C7" s="600"/>
      <c r="D7" s="601" t="s">
        <v>394</v>
      </c>
      <c r="E7" s="602"/>
      <c r="F7" s="596"/>
      <c r="G7" s="603" t="s">
        <v>395</v>
      </c>
      <c r="H7" s="603"/>
      <c r="I7" s="603"/>
      <c r="J7" s="603"/>
      <c r="K7" s="603"/>
      <c r="L7" s="603"/>
      <c r="M7" s="604"/>
      <c r="O7" s="368"/>
    </row>
    <row r="8" spans="2:15" s="333" customFormat="1" ht="15" thickBot="1" x14ac:dyDescent="0.35">
      <c r="B8" s="605"/>
      <c r="C8" s="606"/>
      <c r="D8" s="607" t="e">
        <f>#REF!</f>
        <v>#REF!</v>
      </c>
      <c r="E8" s="608"/>
      <c r="F8" s="597"/>
      <c r="G8" s="609"/>
      <c r="H8" s="609"/>
      <c r="I8" s="609"/>
      <c r="J8" s="609"/>
      <c r="K8" s="609"/>
      <c r="L8" s="609"/>
      <c r="M8" s="610"/>
      <c r="O8" s="368"/>
    </row>
    <row r="9" spans="2:15" s="333" customFormat="1" ht="15" thickBot="1" x14ac:dyDescent="0.35">
      <c r="B9" s="346" t="s">
        <v>396</v>
      </c>
      <c r="C9" s="347" t="s">
        <v>43</v>
      </c>
      <c r="D9" s="347" t="s">
        <v>46</v>
      </c>
      <c r="E9" s="348" t="s">
        <v>397</v>
      </c>
      <c r="F9" s="349" t="s">
        <v>40</v>
      </c>
      <c r="G9" s="426"/>
      <c r="H9" s="426"/>
      <c r="I9" s="426"/>
      <c r="J9" s="426"/>
      <c r="K9" s="426"/>
      <c r="L9" s="426"/>
      <c r="M9" s="611"/>
      <c r="O9" s="368"/>
    </row>
    <row r="10" spans="2:15" s="333" customFormat="1" x14ac:dyDescent="0.3">
      <c r="B10" s="358" t="str">
        <f>IFERROR(VLOOKUP(O10,#REF!,4,FALSE),"")</f>
        <v/>
      </c>
      <c r="C10" s="359" t="str">
        <f>IFERROR(VLOOKUP(O10,#REF!,8,FALSE),"")</f>
        <v/>
      </c>
      <c r="D10" s="364" t="str">
        <f>IFERROR(VLOOKUP(O10,#REF!,11,FALSE),"")</f>
        <v/>
      </c>
      <c r="E10" s="364" t="str">
        <f>IFERROR(VLOOKUP(O10,#REF!,10,FALSE),"")</f>
        <v/>
      </c>
      <c r="F10" s="366" t="str">
        <f>IFERROR(VLOOKUP(O10,#REF!,3,FALSE),"")</f>
        <v/>
      </c>
      <c r="G10" s="426"/>
      <c r="H10" s="426"/>
      <c r="I10" s="426"/>
      <c r="J10" s="426"/>
      <c r="K10" s="426"/>
      <c r="L10" s="426"/>
      <c r="M10" s="611"/>
      <c r="O10" s="368" t="str">
        <f t="array" ref="O10">IFERROR(SMALL(IF(#REF!&lt;&gt;"",#REF!,""),ROW()-9),"")</f>
        <v/>
      </c>
    </row>
    <row r="11" spans="2:15" s="333" customFormat="1" x14ac:dyDescent="0.3">
      <c r="B11" s="360" t="str">
        <f>IFERROR(VLOOKUP(O11,#REF!,4,FALSE),"")</f>
        <v/>
      </c>
      <c r="C11" s="359" t="str">
        <f>IFERROR(VLOOKUP(O11,#REF!,8,FALSE),"")</f>
        <v/>
      </c>
      <c r="D11" s="365" t="str">
        <f>IFERROR(VLOOKUP(O11,#REF!,11,FALSE),"")</f>
        <v/>
      </c>
      <c r="E11" s="365" t="str">
        <f>IFERROR(VLOOKUP(O11,#REF!,10,FALSE),"")</f>
        <v/>
      </c>
      <c r="F11" s="367" t="str">
        <f>IFERROR(VLOOKUP(O11,#REF!,3,FALSE),"")</f>
        <v/>
      </c>
      <c r="G11" s="426"/>
      <c r="H11" s="426"/>
      <c r="I11" s="426"/>
      <c r="J11" s="426"/>
      <c r="K11" s="426"/>
      <c r="L11" s="426"/>
      <c r="M11" s="611"/>
      <c r="O11" s="368" t="str">
        <f t="array" ref="O11">IFERROR(SMALL(IF(#REF!&lt;&gt;"",#REF!,""),ROW()-9),"")</f>
        <v/>
      </c>
    </row>
    <row r="12" spans="2:15" s="333" customFormat="1" x14ac:dyDescent="0.3">
      <c r="B12" s="360" t="str">
        <f>IFERROR(VLOOKUP(O12,#REF!,4,FALSE),"")</f>
        <v/>
      </c>
      <c r="C12" s="359" t="str">
        <f>IFERROR(VLOOKUP(O12,#REF!,8,FALSE),"")</f>
        <v/>
      </c>
      <c r="D12" s="365" t="str">
        <f>IFERROR(VLOOKUP(O12,#REF!,11,FALSE),"")</f>
        <v/>
      </c>
      <c r="E12" s="365" t="str">
        <f>IFERROR(VLOOKUP(O12,#REF!,10,FALSE),"")</f>
        <v/>
      </c>
      <c r="F12" s="367" t="str">
        <f>IFERROR(VLOOKUP(O12,#REF!,3,FALSE),"")</f>
        <v/>
      </c>
      <c r="G12" s="426"/>
      <c r="H12" s="426"/>
      <c r="I12" s="426"/>
      <c r="J12" s="426"/>
      <c r="K12" s="426"/>
      <c r="L12" s="426"/>
      <c r="M12" s="611"/>
      <c r="O12" s="368" t="str">
        <f t="array" ref="O12">IFERROR(SMALL(IF(#REF!&lt;&gt;"",#REF!,""),ROW()-9),"")</f>
        <v/>
      </c>
    </row>
    <row r="13" spans="2:15" s="333" customFormat="1" x14ac:dyDescent="0.3">
      <c r="B13" s="360" t="str">
        <f>IFERROR(VLOOKUP(O13,#REF!,4,FALSE),"")</f>
        <v/>
      </c>
      <c r="C13" s="359" t="str">
        <f>IFERROR(VLOOKUP(O13,#REF!,8,FALSE),"")</f>
        <v/>
      </c>
      <c r="D13" s="365" t="str">
        <f>IFERROR(VLOOKUP(O13,#REF!,11,FALSE),"")</f>
        <v/>
      </c>
      <c r="E13" s="365" t="str">
        <f>IFERROR(VLOOKUP(O13,#REF!,10,FALSE),"")</f>
        <v/>
      </c>
      <c r="F13" s="367" t="str">
        <f>IFERROR(VLOOKUP(O13,#REF!,3,FALSE),"")</f>
        <v/>
      </c>
      <c r="G13" s="426"/>
      <c r="H13" s="426"/>
      <c r="I13" s="426"/>
      <c r="J13" s="426"/>
      <c r="K13" s="426"/>
      <c r="L13" s="426"/>
      <c r="M13" s="611"/>
      <c r="O13" s="368" t="str">
        <f t="array" ref="O13">IFERROR(SMALL(IF(#REF!&lt;&gt;"",#REF!,""),ROW()-9),"")</f>
        <v/>
      </c>
    </row>
    <row r="14" spans="2:15" s="333" customFormat="1" x14ac:dyDescent="0.3">
      <c r="B14" s="360" t="str">
        <f>IFERROR(VLOOKUP(O14,#REF!,4,FALSE),"")</f>
        <v/>
      </c>
      <c r="C14" s="359" t="str">
        <f>IFERROR(VLOOKUP(O14,#REF!,8,FALSE),"")</f>
        <v/>
      </c>
      <c r="D14" s="365" t="str">
        <f>IFERROR(VLOOKUP(O14,#REF!,11,FALSE),"")</f>
        <v/>
      </c>
      <c r="E14" s="365" t="str">
        <f>IFERROR(VLOOKUP(O14,#REF!,10,FALSE),"")</f>
        <v/>
      </c>
      <c r="F14" s="367" t="str">
        <f>IFERROR(VLOOKUP(O14,#REF!,3,FALSE),"")</f>
        <v/>
      </c>
      <c r="G14" s="426"/>
      <c r="H14" s="426"/>
      <c r="I14" s="426"/>
      <c r="J14" s="426"/>
      <c r="K14" s="426"/>
      <c r="L14" s="426"/>
      <c r="M14" s="611"/>
      <c r="O14" s="368" t="str">
        <f t="array" ref="O14">IFERROR(SMALL(IF(#REF!&lt;&gt;"",#REF!,""),ROW()-9),"")</f>
        <v/>
      </c>
    </row>
    <row r="15" spans="2:15" s="333" customFormat="1" x14ac:dyDescent="0.3">
      <c r="B15" s="360" t="str">
        <f>IFERROR(VLOOKUP(O15,#REF!,4,FALSE),"")</f>
        <v/>
      </c>
      <c r="C15" s="359" t="str">
        <f>IFERROR(VLOOKUP(O15,#REF!,8,FALSE),"")</f>
        <v/>
      </c>
      <c r="D15" s="365" t="str">
        <f>IFERROR(VLOOKUP(O15,#REF!,11,FALSE),"")</f>
        <v/>
      </c>
      <c r="E15" s="365" t="str">
        <f>IFERROR(VLOOKUP(O15,#REF!,10,FALSE),"")</f>
        <v/>
      </c>
      <c r="F15" s="367" t="str">
        <f>IFERROR(VLOOKUP(O15,#REF!,3,FALSE),"")</f>
        <v/>
      </c>
      <c r="G15" s="426"/>
      <c r="H15" s="426"/>
      <c r="I15" s="426"/>
      <c r="J15" s="426"/>
      <c r="K15" s="426"/>
      <c r="L15" s="426"/>
      <c r="M15" s="611"/>
      <c r="O15" s="368" t="str">
        <f t="array" ref="O15">IFERROR(SMALL(IF(#REF!&lt;&gt;"",#REF!,""),ROW()-9),"")</f>
        <v/>
      </c>
    </row>
    <row r="16" spans="2:15" s="333" customFormat="1" x14ac:dyDescent="0.3">
      <c r="B16" s="360" t="str">
        <f>IFERROR(VLOOKUP(O16,#REF!,4,FALSE),"")</f>
        <v/>
      </c>
      <c r="C16" s="359" t="str">
        <f>IFERROR(VLOOKUP(O16,#REF!,8,FALSE),"")</f>
        <v/>
      </c>
      <c r="D16" s="365" t="str">
        <f>IFERROR(VLOOKUP(O16,#REF!,11,FALSE),"")</f>
        <v/>
      </c>
      <c r="E16" s="365" t="str">
        <f>IFERROR(VLOOKUP(O16,#REF!,10,FALSE),"")</f>
        <v/>
      </c>
      <c r="F16" s="367" t="str">
        <f>IFERROR(VLOOKUP(O16,#REF!,3,FALSE),"")</f>
        <v/>
      </c>
      <c r="G16" s="426"/>
      <c r="H16" s="426"/>
      <c r="I16" s="426"/>
      <c r="J16" s="426"/>
      <c r="K16" s="426"/>
      <c r="L16" s="426"/>
      <c r="M16" s="611"/>
      <c r="O16" s="368" t="str">
        <f t="array" ref="O16">IFERROR(SMALL(IF(#REF!&lt;&gt;"",#REF!,""),ROW()-9),"")</f>
        <v/>
      </c>
    </row>
    <row r="17" spans="2:15" s="333" customFormat="1" x14ac:dyDescent="0.3">
      <c r="B17" s="360" t="str">
        <f>IFERROR(VLOOKUP(O17,#REF!,4,FALSE),"")</f>
        <v/>
      </c>
      <c r="C17" s="359" t="str">
        <f>IFERROR(VLOOKUP(O17,#REF!,8,FALSE),"")</f>
        <v/>
      </c>
      <c r="D17" s="365" t="str">
        <f>IFERROR(VLOOKUP(O17,#REF!,11,FALSE),"")</f>
        <v/>
      </c>
      <c r="E17" s="365" t="str">
        <f>IFERROR(VLOOKUP(O17,#REF!,10,FALSE),"")</f>
        <v/>
      </c>
      <c r="F17" s="367" t="str">
        <f>IFERROR(VLOOKUP(O17,#REF!,3,FALSE),"")</f>
        <v/>
      </c>
      <c r="G17" s="426"/>
      <c r="H17" s="426"/>
      <c r="I17" s="426"/>
      <c r="J17" s="426"/>
      <c r="K17" s="426"/>
      <c r="L17" s="426"/>
      <c r="M17" s="611"/>
      <c r="O17" s="368" t="str">
        <f t="array" ref="O17">IFERROR(SMALL(IF(#REF!&lt;&gt;"",#REF!,""),ROW()-9),"")</f>
        <v/>
      </c>
    </row>
    <row r="18" spans="2:15" s="333" customFormat="1" x14ac:dyDescent="0.3">
      <c r="B18" s="360" t="str">
        <f>IFERROR(VLOOKUP(O18,#REF!,4,FALSE),"")</f>
        <v/>
      </c>
      <c r="C18" s="359" t="str">
        <f>IFERROR(VLOOKUP(O18,#REF!,8,FALSE),"")</f>
        <v/>
      </c>
      <c r="D18" s="365" t="str">
        <f>IFERROR(VLOOKUP(O18,#REF!,11,FALSE),"")</f>
        <v/>
      </c>
      <c r="E18" s="365" t="str">
        <f>IFERROR(VLOOKUP(O18,#REF!,10,FALSE),"")</f>
        <v/>
      </c>
      <c r="F18" s="367" t="str">
        <f>IFERROR(VLOOKUP(O18,#REF!,3,FALSE),"")</f>
        <v/>
      </c>
      <c r="G18" s="426"/>
      <c r="H18" s="426"/>
      <c r="I18" s="426"/>
      <c r="J18" s="426"/>
      <c r="K18" s="426"/>
      <c r="L18" s="426"/>
      <c r="M18" s="611"/>
      <c r="O18" s="368" t="str">
        <f t="array" ref="O18">IFERROR(SMALL(IF(#REF!&lt;&gt;"",#REF!,""),ROW()-9),"")</f>
        <v/>
      </c>
    </row>
    <row r="19" spans="2:15" s="333" customFormat="1" x14ac:dyDescent="0.3">
      <c r="B19" s="360" t="str">
        <f>IFERROR(VLOOKUP(O19,#REF!,4,FALSE),"")</f>
        <v/>
      </c>
      <c r="C19" s="359" t="str">
        <f>IFERROR(VLOOKUP(O19,#REF!,8,FALSE),"")</f>
        <v/>
      </c>
      <c r="D19" s="365" t="str">
        <f>IFERROR(VLOOKUP(O19,#REF!,11,FALSE),"")</f>
        <v/>
      </c>
      <c r="E19" s="365" t="str">
        <f>IFERROR(VLOOKUP(O19,#REF!,10,FALSE),"")</f>
        <v/>
      </c>
      <c r="F19" s="367" t="str">
        <f>IFERROR(VLOOKUP(O19,#REF!,3,FALSE),"")</f>
        <v/>
      </c>
      <c r="G19" s="426"/>
      <c r="H19" s="426"/>
      <c r="I19" s="426"/>
      <c r="J19" s="426"/>
      <c r="K19" s="426"/>
      <c r="L19" s="426"/>
      <c r="M19" s="611"/>
      <c r="O19" s="368" t="str">
        <f t="array" ref="O19">IFERROR(SMALL(IF(#REF!&lt;&gt;"",#REF!,""),ROW()-9),"")</f>
        <v/>
      </c>
    </row>
    <row r="20" spans="2:15" s="333" customFormat="1" x14ac:dyDescent="0.3">
      <c r="B20" s="360" t="str">
        <f>IFERROR(VLOOKUP(O20,#REF!,4,FALSE),"")</f>
        <v/>
      </c>
      <c r="C20" s="359" t="str">
        <f>IFERROR(VLOOKUP(O20,#REF!,8,FALSE),"")</f>
        <v/>
      </c>
      <c r="D20" s="365" t="str">
        <f>IFERROR(VLOOKUP(O20,#REF!,11,FALSE),"")</f>
        <v/>
      </c>
      <c r="E20" s="365" t="str">
        <f>IFERROR(VLOOKUP(O20,#REF!,10,FALSE),"")</f>
        <v/>
      </c>
      <c r="F20" s="367" t="str">
        <f>IFERROR(VLOOKUP(O20,#REF!,3,FALSE),"")</f>
        <v/>
      </c>
      <c r="G20" s="426"/>
      <c r="H20" s="426"/>
      <c r="I20" s="426"/>
      <c r="J20" s="426"/>
      <c r="K20" s="426"/>
      <c r="L20" s="426"/>
      <c r="M20" s="611"/>
      <c r="O20" s="368" t="str">
        <f t="array" ref="O20">IFERROR(SMALL(IF(#REF!&lt;&gt;"",#REF!,""),ROW()-9),"")</f>
        <v/>
      </c>
    </row>
    <row r="21" spans="2:15" s="333" customFormat="1" x14ac:dyDescent="0.3">
      <c r="B21" s="360" t="str">
        <f>IFERROR(VLOOKUP(O21,#REF!,4,FALSE),"")</f>
        <v/>
      </c>
      <c r="C21" s="359" t="str">
        <f>IFERROR(VLOOKUP(O21,#REF!,8,FALSE),"")</f>
        <v/>
      </c>
      <c r="D21" s="365" t="str">
        <f>IFERROR(VLOOKUP(O21,#REF!,11,FALSE),"")</f>
        <v/>
      </c>
      <c r="E21" s="365" t="str">
        <f>IFERROR(VLOOKUP(O21,#REF!,10,FALSE),"")</f>
        <v/>
      </c>
      <c r="F21" s="367" t="str">
        <f>IFERROR(VLOOKUP(O21,#REF!,3,FALSE),"")</f>
        <v/>
      </c>
      <c r="G21" s="426"/>
      <c r="H21" s="426"/>
      <c r="I21" s="426"/>
      <c r="J21" s="426"/>
      <c r="K21" s="426"/>
      <c r="L21" s="426"/>
      <c r="M21" s="611"/>
      <c r="O21" s="368" t="str">
        <f t="array" ref="O21">IFERROR(SMALL(IF(#REF!&lt;&gt;"",#REF!,""),ROW()-9),"")</f>
        <v/>
      </c>
    </row>
    <row r="22" spans="2:15" s="333" customFormat="1" x14ac:dyDescent="0.3">
      <c r="B22" s="360" t="str">
        <f>IFERROR(VLOOKUP(O22,#REF!,4,FALSE),"")</f>
        <v/>
      </c>
      <c r="C22" s="359" t="str">
        <f>IFERROR(VLOOKUP(O22,#REF!,8,FALSE),"")</f>
        <v/>
      </c>
      <c r="D22" s="365" t="str">
        <f>IFERROR(VLOOKUP(O22,#REF!,11,FALSE),"")</f>
        <v/>
      </c>
      <c r="E22" s="365" t="str">
        <f>IFERROR(VLOOKUP(O22,#REF!,10,FALSE),"")</f>
        <v/>
      </c>
      <c r="F22" s="367" t="str">
        <f>IFERROR(VLOOKUP(O22,#REF!,3,FALSE),"")</f>
        <v/>
      </c>
      <c r="G22" s="426"/>
      <c r="H22" s="426"/>
      <c r="I22" s="426"/>
      <c r="J22" s="426"/>
      <c r="K22" s="426"/>
      <c r="L22" s="426"/>
      <c r="M22" s="611"/>
      <c r="O22" s="368" t="str">
        <f t="array" ref="O22">IFERROR(SMALL(IF(#REF!&lt;&gt;"",#REF!,""),ROW()-9),"")</f>
        <v/>
      </c>
    </row>
    <row r="23" spans="2:15" s="333" customFormat="1" x14ac:dyDescent="0.3">
      <c r="B23" s="360" t="str">
        <f>IFERROR(VLOOKUP(O23,#REF!,4,FALSE),"")</f>
        <v/>
      </c>
      <c r="C23" s="359" t="str">
        <f>IFERROR(VLOOKUP(O23,#REF!,8,FALSE),"")</f>
        <v/>
      </c>
      <c r="D23" s="365" t="str">
        <f>IFERROR(VLOOKUP(O23,#REF!,11,FALSE),"")</f>
        <v/>
      </c>
      <c r="E23" s="365" t="str">
        <f>IFERROR(VLOOKUP(O23,#REF!,10,FALSE),"")</f>
        <v/>
      </c>
      <c r="F23" s="367" t="str">
        <f>IFERROR(VLOOKUP(O23,#REF!,3,FALSE),"")</f>
        <v/>
      </c>
      <c r="G23" s="426"/>
      <c r="H23" s="426"/>
      <c r="I23" s="426"/>
      <c r="J23" s="426"/>
      <c r="K23" s="426"/>
      <c r="L23" s="426"/>
      <c r="M23" s="611"/>
      <c r="O23" s="368" t="str">
        <f t="array" ref="O23">IFERROR(SMALL(IF(#REF!&lt;&gt;"",#REF!,""),ROW()-9),"")</f>
        <v/>
      </c>
    </row>
    <row r="24" spans="2:15" s="333" customFormat="1" x14ac:dyDescent="0.3">
      <c r="B24" s="360" t="str">
        <f>IFERROR(VLOOKUP(O24,#REF!,4,FALSE),"")</f>
        <v/>
      </c>
      <c r="C24" s="359" t="str">
        <f>IFERROR(VLOOKUP(O24,#REF!,8,FALSE),"")</f>
        <v/>
      </c>
      <c r="D24" s="365" t="str">
        <f>IFERROR(VLOOKUP(O24,#REF!,11,FALSE),"")</f>
        <v/>
      </c>
      <c r="E24" s="365" t="str">
        <f>IFERROR(VLOOKUP(O24,#REF!,10,FALSE),"")</f>
        <v/>
      </c>
      <c r="F24" s="367" t="str">
        <f>IFERROR(VLOOKUP(O24,#REF!,3,FALSE),"")</f>
        <v/>
      </c>
      <c r="G24" s="426"/>
      <c r="H24" s="426"/>
      <c r="I24" s="426"/>
      <c r="J24" s="426"/>
      <c r="K24" s="426"/>
      <c r="L24" s="426"/>
      <c r="M24" s="611"/>
      <c r="O24" s="368" t="str">
        <f t="array" ref="O24">IFERROR(SMALL(IF(#REF!&lt;&gt;"",#REF!,""),ROW()-9),"")</f>
        <v/>
      </c>
    </row>
    <row r="25" spans="2:15" s="333" customFormat="1" x14ac:dyDescent="0.3">
      <c r="B25" s="360" t="str">
        <f>IFERROR(VLOOKUP(O25,#REF!,4,FALSE),"")</f>
        <v/>
      </c>
      <c r="C25" s="359" t="str">
        <f>IFERROR(VLOOKUP(O25,#REF!,8,FALSE),"")</f>
        <v/>
      </c>
      <c r="D25" s="365" t="str">
        <f>IFERROR(VLOOKUP(O25,#REF!,11,FALSE),"")</f>
        <v/>
      </c>
      <c r="E25" s="365" t="str">
        <f>IFERROR(VLOOKUP(O25,#REF!,10,FALSE),"")</f>
        <v/>
      </c>
      <c r="F25" s="367" t="str">
        <f>IFERROR(VLOOKUP(O25,#REF!,3,FALSE),"")</f>
        <v/>
      </c>
      <c r="G25" s="426"/>
      <c r="H25" s="426"/>
      <c r="I25" s="426"/>
      <c r="J25" s="426"/>
      <c r="K25" s="426"/>
      <c r="L25" s="426"/>
      <c r="M25" s="611"/>
      <c r="O25" s="368" t="str">
        <f t="array" ref="O25">IFERROR(SMALL(IF(#REF!&lt;&gt;"",#REF!,""),ROW()-9),"")</f>
        <v/>
      </c>
    </row>
    <row r="26" spans="2:15" s="333" customFormat="1" x14ac:dyDescent="0.3">
      <c r="B26" s="360" t="str">
        <f>IFERROR(VLOOKUP(O26,#REF!,4,FALSE),"")</f>
        <v/>
      </c>
      <c r="C26" s="359" t="str">
        <f>IFERROR(VLOOKUP(O26,#REF!,8,FALSE),"")</f>
        <v/>
      </c>
      <c r="D26" s="365" t="str">
        <f>IFERROR(VLOOKUP(O26,#REF!,11,FALSE),"")</f>
        <v/>
      </c>
      <c r="E26" s="365" t="str">
        <f>IFERROR(VLOOKUP(O26,#REF!,10,FALSE),"")</f>
        <v/>
      </c>
      <c r="F26" s="367" t="str">
        <f>IFERROR(VLOOKUP(O26,#REF!,3,FALSE),"")</f>
        <v/>
      </c>
      <c r="G26" s="426"/>
      <c r="H26" s="426"/>
      <c r="I26" s="426"/>
      <c r="J26" s="426"/>
      <c r="K26" s="426"/>
      <c r="L26" s="426"/>
      <c r="M26" s="611"/>
      <c r="O26" s="368" t="str">
        <f t="array" ref="O26">IFERROR(SMALL(IF(#REF!&lt;&gt;"",#REF!,""),ROW()-9),"")</f>
        <v/>
      </c>
    </row>
    <row r="27" spans="2:15" s="333" customFormat="1" x14ac:dyDescent="0.3">
      <c r="B27" s="360" t="str">
        <f>IFERROR(VLOOKUP(O27,#REF!,4,FALSE),"")</f>
        <v/>
      </c>
      <c r="C27" s="359" t="str">
        <f>IFERROR(VLOOKUP(O27,#REF!,8,FALSE),"")</f>
        <v/>
      </c>
      <c r="D27" s="365" t="str">
        <f>IFERROR(VLOOKUP(O27,#REF!,11,FALSE),"")</f>
        <v/>
      </c>
      <c r="E27" s="365" t="str">
        <f>IFERROR(VLOOKUP(O27,#REF!,10,FALSE),"")</f>
        <v/>
      </c>
      <c r="F27" s="367" t="str">
        <f>IFERROR(VLOOKUP(O27,#REF!,3,FALSE),"")</f>
        <v/>
      </c>
      <c r="G27" s="426"/>
      <c r="H27" s="426"/>
      <c r="I27" s="426"/>
      <c r="J27" s="426"/>
      <c r="K27" s="426"/>
      <c r="L27" s="426"/>
      <c r="M27" s="611"/>
      <c r="O27" s="368" t="str">
        <f t="array" ref="O27">IFERROR(SMALL(IF(#REF!&lt;&gt;"",#REF!,""),ROW()-9),"")</f>
        <v/>
      </c>
    </row>
    <row r="28" spans="2:15" s="333" customFormat="1" x14ac:dyDescent="0.3">
      <c r="B28" s="360" t="str">
        <f>IFERROR(VLOOKUP(O28,#REF!,4,FALSE),"")</f>
        <v/>
      </c>
      <c r="C28" s="359" t="str">
        <f>IFERROR(VLOOKUP(O28,#REF!,8,FALSE),"")</f>
        <v/>
      </c>
      <c r="D28" s="365" t="str">
        <f>IFERROR(VLOOKUP(O28,#REF!,11,FALSE),"")</f>
        <v/>
      </c>
      <c r="E28" s="365" t="str">
        <f>IFERROR(VLOOKUP(O28,#REF!,10,FALSE),"")</f>
        <v/>
      </c>
      <c r="F28" s="367" t="str">
        <f>IFERROR(VLOOKUP(O28,#REF!,3,FALSE),"")</f>
        <v/>
      </c>
      <c r="G28" s="426"/>
      <c r="H28" s="426"/>
      <c r="I28" s="426"/>
      <c r="J28" s="426"/>
      <c r="K28" s="426"/>
      <c r="L28" s="426"/>
      <c r="M28" s="611"/>
      <c r="O28" s="368" t="str">
        <f t="array" ref="O28">IFERROR(SMALL(IF(#REF!&lt;&gt;"",#REF!,""),ROW()-9),"")</f>
        <v/>
      </c>
    </row>
    <row r="29" spans="2:15" s="333" customFormat="1" x14ac:dyDescent="0.3">
      <c r="B29" s="360" t="str">
        <f>IFERROR(VLOOKUP(O29,#REF!,4,FALSE),"")</f>
        <v/>
      </c>
      <c r="C29" s="359" t="str">
        <f>IFERROR(VLOOKUP(O29,#REF!,8,FALSE),"")</f>
        <v/>
      </c>
      <c r="D29" s="365" t="str">
        <f>IFERROR(VLOOKUP(O29,#REF!,11,FALSE),"")</f>
        <v/>
      </c>
      <c r="E29" s="365" t="str">
        <f>IFERROR(VLOOKUP(O29,#REF!,10,FALSE),"")</f>
        <v/>
      </c>
      <c r="F29" s="367" t="str">
        <f>IFERROR(VLOOKUP(O29,#REF!,3,FALSE),"")</f>
        <v/>
      </c>
      <c r="G29" s="426"/>
      <c r="H29" s="426"/>
      <c r="I29" s="426"/>
      <c r="J29" s="426"/>
      <c r="K29" s="426"/>
      <c r="L29" s="426"/>
      <c r="M29" s="611"/>
      <c r="O29" s="368" t="str">
        <f t="array" ref="O29">IFERROR(SMALL(IF(#REF!&lt;&gt;"",#REF!,""),ROW()-9),"")</f>
        <v/>
      </c>
    </row>
    <row r="30" spans="2:15" s="333" customFormat="1" x14ac:dyDescent="0.3">
      <c r="B30" s="360" t="str">
        <f>IFERROR(VLOOKUP(O30,#REF!,4,FALSE),"")</f>
        <v/>
      </c>
      <c r="C30" s="359" t="str">
        <f>IFERROR(VLOOKUP(O30,#REF!,8,FALSE),"")</f>
        <v/>
      </c>
      <c r="D30" s="365" t="str">
        <f>IFERROR(VLOOKUP(O30,#REF!,11,FALSE),"")</f>
        <v/>
      </c>
      <c r="E30" s="365" t="str">
        <f>IFERROR(VLOOKUP(O30,#REF!,10,FALSE),"")</f>
        <v/>
      </c>
      <c r="F30" s="367" t="str">
        <f>IFERROR(VLOOKUP(O30,#REF!,3,FALSE),"")</f>
        <v/>
      </c>
      <c r="G30" s="426"/>
      <c r="H30" s="426"/>
      <c r="I30" s="426"/>
      <c r="J30" s="426"/>
      <c r="K30" s="426"/>
      <c r="L30" s="426"/>
      <c r="M30" s="611"/>
      <c r="O30" s="368" t="str">
        <f t="array" ref="O30">IFERROR(SMALL(IF(#REF!&lt;&gt;"",#REF!,""),ROW()-9),"")</f>
        <v/>
      </c>
    </row>
    <row r="31" spans="2:15" s="333" customFormat="1" x14ac:dyDescent="0.3">
      <c r="B31" s="360" t="str">
        <f>IFERROR(VLOOKUP(O31,#REF!,4,FALSE),"")</f>
        <v/>
      </c>
      <c r="C31" s="359" t="str">
        <f>IFERROR(VLOOKUP(O31,#REF!,8,FALSE),"")</f>
        <v/>
      </c>
      <c r="D31" s="365" t="str">
        <f>IFERROR(VLOOKUP(O31,#REF!,11,FALSE),"")</f>
        <v/>
      </c>
      <c r="E31" s="365" t="str">
        <f>IFERROR(VLOOKUP(O31,#REF!,10,FALSE),"")</f>
        <v/>
      </c>
      <c r="F31" s="367" t="str">
        <f>IFERROR(VLOOKUP(O31,#REF!,3,FALSE),"")</f>
        <v/>
      </c>
      <c r="G31" s="426"/>
      <c r="H31" s="426"/>
      <c r="I31" s="426"/>
      <c r="J31" s="426"/>
      <c r="K31" s="426"/>
      <c r="L31" s="426"/>
      <c r="M31" s="611"/>
      <c r="O31" s="368" t="str">
        <f t="array" ref="O31">IFERROR(SMALL(IF(#REF!&lt;&gt;"",#REF!,""),ROW()-9),"")</f>
        <v/>
      </c>
    </row>
    <row r="32" spans="2:15" s="333" customFormat="1" x14ac:dyDescent="0.3">
      <c r="B32" s="360" t="str">
        <f>IFERROR(VLOOKUP(O32,#REF!,4,FALSE),"")</f>
        <v/>
      </c>
      <c r="C32" s="359" t="str">
        <f>IFERROR(VLOOKUP(O32,#REF!,8,FALSE),"")</f>
        <v/>
      </c>
      <c r="D32" s="365" t="str">
        <f>IFERROR(VLOOKUP(O32,#REF!,11,FALSE),"")</f>
        <v/>
      </c>
      <c r="E32" s="365" t="str">
        <f>IFERROR(VLOOKUP(O32,#REF!,10,FALSE),"")</f>
        <v/>
      </c>
      <c r="F32" s="367" t="str">
        <f>IFERROR(VLOOKUP(O32,#REF!,3,FALSE),"")</f>
        <v/>
      </c>
      <c r="G32" s="426"/>
      <c r="H32" s="426"/>
      <c r="I32" s="426"/>
      <c r="J32" s="426"/>
      <c r="K32" s="426"/>
      <c r="L32" s="426"/>
      <c r="M32" s="611"/>
      <c r="O32" s="368" t="str">
        <f t="array" ref="O32">IFERROR(SMALL(IF(#REF!&lt;&gt;"",#REF!,""),ROW()-9),"")</f>
        <v/>
      </c>
    </row>
    <row r="33" spans="2:15" s="333" customFormat="1" x14ac:dyDescent="0.3">
      <c r="B33" s="360" t="str">
        <f>IFERROR(VLOOKUP(O33,#REF!,4,FALSE),"")</f>
        <v/>
      </c>
      <c r="C33" s="359" t="str">
        <f>IFERROR(VLOOKUP(O33,#REF!,8,FALSE),"")</f>
        <v/>
      </c>
      <c r="D33" s="365" t="str">
        <f>IFERROR(VLOOKUP(O33,#REF!,11,FALSE),"")</f>
        <v/>
      </c>
      <c r="E33" s="365" t="str">
        <f>IFERROR(VLOOKUP(O33,#REF!,10,FALSE),"")</f>
        <v/>
      </c>
      <c r="F33" s="367" t="str">
        <f>IFERROR(VLOOKUP(O33,#REF!,3,FALSE),"")</f>
        <v/>
      </c>
      <c r="G33" s="426"/>
      <c r="H33" s="426"/>
      <c r="I33" s="426"/>
      <c r="J33" s="426"/>
      <c r="K33" s="426"/>
      <c r="L33" s="426"/>
      <c r="M33" s="611"/>
      <c r="O33" s="368" t="str">
        <f t="array" ref="O33">IFERROR(SMALL(IF(#REF!&lt;&gt;"",#REF!,""),ROW()-9),"")</f>
        <v/>
      </c>
    </row>
    <row r="34" spans="2:15" s="333" customFormat="1" ht="15" thickBot="1" x14ac:dyDescent="0.35">
      <c r="B34" s="360" t="str">
        <f>IFERROR(VLOOKUP(O34,#REF!,4,FALSE),"")</f>
        <v/>
      </c>
      <c r="C34" s="359" t="str">
        <f>IFERROR(VLOOKUP(O34,#REF!,8,FALSE),"")</f>
        <v/>
      </c>
      <c r="D34" s="365" t="str">
        <f>IFERROR(VLOOKUP(O34,#REF!,11,FALSE),"")</f>
        <v/>
      </c>
      <c r="E34" s="365" t="str">
        <f>IFERROR(VLOOKUP(O34,#REF!,10,FALSE),"")</f>
        <v/>
      </c>
      <c r="F34" s="367" t="str">
        <f>IFERROR(VLOOKUP(O34,#REF!,3,FALSE),"")</f>
        <v/>
      </c>
      <c r="G34" s="426"/>
      <c r="H34" s="426"/>
      <c r="I34" s="426"/>
      <c r="J34" s="426"/>
      <c r="K34" s="426"/>
      <c r="L34" s="426"/>
      <c r="M34" s="611"/>
      <c r="O34" s="368" t="str">
        <f t="array" ref="O34">IFERROR(SMALL(IF(#REF!&lt;&gt;"",#REF!,""),ROW()-9),"")</f>
        <v/>
      </c>
    </row>
    <row r="35" spans="2:15" s="333" customFormat="1" ht="15" thickBot="1" x14ac:dyDescent="0.35">
      <c r="B35" s="107" t="s">
        <v>45</v>
      </c>
      <c r="C35" s="328"/>
      <c r="D35" s="350"/>
      <c r="E35" s="99" t="s">
        <v>398</v>
      </c>
      <c r="F35" s="361">
        <f>SUM(F10:F34)</f>
        <v>0</v>
      </c>
      <c r="G35" s="426"/>
      <c r="H35" s="426"/>
      <c r="I35" s="426"/>
      <c r="J35" s="426"/>
      <c r="K35" s="426"/>
      <c r="L35" s="426"/>
      <c r="M35" s="611"/>
      <c r="O35" s="368" t="str">
        <f t="array" ref="O35">IFERROR(SMALL(IF(#REF!&lt;&gt;"",#REF!,""),ROW()-9),"")</f>
        <v/>
      </c>
    </row>
    <row r="36" spans="2:15" s="333" customFormat="1" x14ac:dyDescent="0.3">
      <c r="B36" s="613"/>
      <c r="C36" s="614"/>
      <c r="D36" s="614"/>
      <c r="E36" s="614"/>
      <c r="F36" s="614"/>
      <c r="G36" s="438" t="s">
        <v>399</v>
      </c>
      <c r="H36" s="438"/>
      <c r="I36" s="439"/>
      <c r="J36" s="439"/>
      <c r="K36" s="439"/>
      <c r="L36" s="439"/>
      <c r="M36" s="440"/>
      <c r="O36" s="368"/>
    </row>
    <row r="37" spans="2:15" s="333" customFormat="1" ht="15.6" x14ac:dyDescent="0.3">
      <c r="B37" s="615"/>
      <c r="C37" s="616"/>
      <c r="D37" s="616"/>
      <c r="E37" s="616"/>
      <c r="F37" s="616"/>
      <c r="G37" s="441" t="s">
        <v>400</v>
      </c>
      <c r="H37" s="441"/>
      <c r="I37" s="442"/>
      <c r="J37" s="442"/>
      <c r="K37" s="442"/>
      <c r="L37" s="442"/>
      <c r="M37" s="443"/>
      <c r="O37" s="368"/>
    </row>
    <row r="38" spans="2:15" s="333" customFormat="1" ht="15.6" x14ac:dyDescent="0.3">
      <c r="B38" s="615"/>
      <c r="C38" s="616"/>
      <c r="D38" s="616"/>
      <c r="E38" s="616"/>
      <c r="F38" s="616"/>
      <c r="G38" s="441" t="s">
        <v>401</v>
      </c>
      <c r="H38" s="441"/>
      <c r="I38" s="444"/>
      <c r="J38" s="445"/>
      <c r="K38" s="445"/>
      <c r="L38" s="445"/>
      <c r="M38" s="446"/>
      <c r="O38" s="368"/>
    </row>
    <row r="39" spans="2:15" s="333" customFormat="1" ht="15.6" x14ac:dyDescent="0.3">
      <c r="B39" s="615"/>
      <c r="C39" s="616"/>
      <c r="D39" s="616"/>
      <c r="E39" s="616"/>
      <c r="F39" s="616"/>
      <c r="G39" s="441" t="s">
        <v>402</v>
      </c>
      <c r="H39" s="441"/>
      <c r="I39" s="442"/>
      <c r="J39" s="442"/>
      <c r="K39" s="442"/>
      <c r="L39" s="442"/>
      <c r="M39" s="443"/>
      <c r="O39" s="368"/>
    </row>
    <row r="40" spans="2:15" s="333" customFormat="1" x14ac:dyDescent="0.3">
      <c r="B40" s="615"/>
      <c r="C40" s="616"/>
      <c r="D40" s="616"/>
      <c r="E40" s="616"/>
      <c r="F40" s="616"/>
      <c r="G40" s="447" t="s">
        <v>403</v>
      </c>
      <c r="H40" s="447"/>
      <c r="I40" s="447"/>
      <c r="J40" s="448"/>
      <c r="K40" s="449" t="s">
        <v>404</v>
      </c>
      <c r="L40" s="447"/>
      <c r="M40" s="450"/>
      <c r="O40" s="368"/>
    </row>
    <row r="41" spans="2:15" s="333" customFormat="1" x14ac:dyDescent="0.3">
      <c r="B41" s="612" t="s">
        <v>365</v>
      </c>
      <c r="C41" s="447"/>
      <c r="D41" s="447"/>
      <c r="E41" s="447"/>
      <c r="F41" s="448"/>
      <c r="G41" s="422"/>
      <c r="H41" s="423"/>
      <c r="I41" s="423"/>
      <c r="J41" s="424"/>
      <c r="K41" s="431"/>
      <c r="L41" s="432"/>
      <c r="M41" s="433"/>
      <c r="O41" s="368"/>
    </row>
    <row r="42" spans="2:15" s="333" customFormat="1" x14ac:dyDescent="0.3">
      <c r="B42" s="351" t="s">
        <v>396</v>
      </c>
      <c r="C42" s="352" t="s">
        <v>405</v>
      </c>
      <c r="D42" s="352" t="s">
        <v>406</v>
      </c>
      <c r="E42" s="352" t="s">
        <v>407</v>
      </c>
      <c r="F42" s="352"/>
      <c r="G42" s="425"/>
      <c r="H42" s="426"/>
      <c r="I42" s="426"/>
      <c r="J42" s="427"/>
      <c r="K42" s="431"/>
      <c r="L42" s="432"/>
      <c r="M42" s="433"/>
      <c r="O42" s="368"/>
    </row>
    <row r="43" spans="2:15" s="333" customFormat="1" x14ac:dyDescent="0.3">
      <c r="B43" s="320" t="str">
        <f>IFERROR(VLOOKUP(A43,#REF!,2,FALSE),"")</f>
        <v/>
      </c>
      <c r="C43" s="321"/>
      <c r="D43" s="322" t="str">
        <f>IF(B43&lt;&gt;"",1,"")</f>
        <v/>
      </c>
      <c r="E43" s="321"/>
      <c r="F43" s="323"/>
      <c r="G43" s="425"/>
      <c r="H43" s="426"/>
      <c r="I43" s="426"/>
      <c r="J43" s="427"/>
      <c r="K43" s="431"/>
      <c r="L43" s="432"/>
      <c r="M43" s="433"/>
      <c r="O43" s="368"/>
    </row>
    <row r="44" spans="2:15" s="333" customFormat="1" x14ac:dyDescent="0.3">
      <c r="B44" s="320" t="str">
        <f>IFERROR(VLOOKUP(A44,#REF!,2,FALSE),"")</f>
        <v/>
      </c>
      <c r="C44" s="321"/>
      <c r="D44" s="322" t="str">
        <f t="shared" ref="D44:D47" si="0">IF(B44&lt;&gt;"",1,"")</f>
        <v/>
      </c>
      <c r="E44" s="321"/>
      <c r="F44" s="323"/>
      <c r="G44" s="425"/>
      <c r="H44" s="426"/>
      <c r="I44" s="426"/>
      <c r="J44" s="427"/>
      <c r="K44" s="431"/>
      <c r="L44" s="432"/>
      <c r="M44" s="433"/>
      <c r="O44" s="368"/>
    </row>
    <row r="45" spans="2:15" s="333" customFormat="1" x14ac:dyDescent="0.3">
      <c r="B45" s="320" t="str">
        <f>IFERROR(VLOOKUP(A45,#REF!,2,FALSE),"")</f>
        <v/>
      </c>
      <c r="C45" s="321"/>
      <c r="D45" s="322" t="str">
        <f t="shared" si="0"/>
        <v/>
      </c>
      <c r="E45" s="321"/>
      <c r="F45" s="323"/>
      <c r="G45" s="425"/>
      <c r="H45" s="426"/>
      <c r="I45" s="426"/>
      <c r="J45" s="427"/>
      <c r="K45" s="431"/>
      <c r="L45" s="432"/>
      <c r="M45" s="433"/>
      <c r="O45" s="368"/>
    </row>
    <row r="46" spans="2:15" s="333" customFormat="1" x14ac:dyDescent="0.3">
      <c r="B46" s="320" t="str">
        <f>IFERROR(VLOOKUP(A46,#REF!,2,FALSE),"")</f>
        <v/>
      </c>
      <c r="C46" s="321"/>
      <c r="D46" s="322" t="str">
        <f t="shared" si="0"/>
        <v/>
      </c>
      <c r="E46" s="321"/>
      <c r="F46" s="323"/>
      <c r="G46" s="425"/>
      <c r="H46" s="426"/>
      <c r="I46" s="426"/>
      <c r="J46" s="427"/>
      <c r="K46" s="431"/>
      <c r="L46" s="432"/>
      <c r="M46" s="433"/>
      <c r="O46" s="368"/>
    </row>
    <row r="47" spans="2:15" s="333" customFormat="1" ht="15" thickBot="1" x14ac:dyDescent="0.35">
      <c r="B47" s="324" t="str">
        <f>IFERROR(VLOOKUP(A47,#REF!,2,FALSE),"")</f>
        <v/>
      </c>
      <c r="C47" s="325"/>
      <c r="D47" s="326" t="str">
        <f t="shared" si="0"/>
        <v/>
      </c>
      <c r="E47" s="325"/>
      <c r="F47" s="327"/>
      <c r="G47" s="428"/>
      <c r="H47" s="429"/>
      <c r="I47" s="429"/>
      <c r="J47" s="430"/>
      <c r="K47" s="353"/>
      <c r="L47" s="354"/>
      <c r="M47" s="355"/>
      <c r="O47" s="368"/>
    </row>
    <row r="48" spans="2:15" s="333" customFormat="1" x14ac:dyDescent="0.3">
      <c r="O48" s="368"/>
    </row>
    <row r="49" spans="4:15" s="333" customFormat="1" x14ac:dyDescent="0.3">
      <c r="O49" s="368"/>
    </row>
    <row r="50" spans="4:15" s="333" customFormat="1" x14ac:dyDescent="0.3">
      <c r="O50" s="368"/>
    </row>
    <row r="51" spans="4:15" s="333" customFormat="1" x14ac:dyDescent="0.3">
      <c r="O51" s="368"/>
    </row>
    <row r="52" spans="4:15" s="333" customFormat="1" x14ac:dyDescent="0.3">
      <c r="O52" s="368"/>
    </row>
    <row r="53" spans="4:15" s="333" customFormat="1" x14ac:dyDescent="0.3">
      <c r="O53" s="368"/>
    </row>
    <row r="54" spans="4:15" s="333" customFormat="1" x14ac:dyDescent="0.3">
      <c r="O54" s="368"/>
    </row>
    <row r="55" spans="4:15" s="333" customFormat="1" x14ac:dyDescent="0.3">
      <c r="O55" s="368"/>
    </row>
    <row r="56" spans="4:15" s="333" customFormat="1" x14ac:dyDescent="0.3">
      <c r="O56" s="368"/>
    </row>
    <row r="57" spans="4:15" s="333" customFormat="1" x14ac:dyDescent="0.3">
      <c r="O57" s="368"/>
    </row>
    <row r="58" spans="4:15" s="333" customFormat="1" x14ac:dyDescent="0.3">
      <c r="O58" s="368"/>
    </row>
    <row r="59" spans="4:15" s="333" customFormat="1" x14ac:dyDescent="0.3">
      <c r="D59" s="356"/>
      <c r="E59" s="356"/>
      <c r="F59" s="356"/>
      <c r="O59" s="368"/>
    </row>
    <row r="60" spans="4:15" s="333" customFormat="1" x14ac:dyDescent="0.3">
      <c r="D60" s="356"/>
      <c r="E60" s="356"/>
      <c r="F60" s="356"/>
      <c r="O60" s="368"/>
    </row>
    <row r="61" spans="4:15" s="333" customFormat="1" x14ac:dyDescent="0.3">
      <c r="D61" s="356"/>
      <c r="E61" s="356"/>
      <c r="F61" s="356"/>
      <c r="O61" s="368"/>
    </row>
    <row r="62" spans="4:15" s="333" customFormat="1" x14ac:dyDescent="0.3">
      <c r="D62" s="356"/>
      <c r="E62" s="356"/>
      <c r="F62" s="356"/>
      <c r="O62" s="368"/>
    </row>
    <row r="63" spans="4:15" s="333" customFormat="1" x14ac:dyDescent="0.3">
      <c r="D63" s="356"/>
      <c r="E63" s="356"/>
      <c r="F63" s="356"/>
      <c r="O63" s="368"/>
    </row>
    <row r="64" spans="4:15" s="333" customFormat="1" x14ac:dyDescent="0.3">
      <c r="D64" s="356"/>
      <c r="E64" s="356"/>
      <c r="F64" s="356"/>
      <c r="O64" s="368"/>
    </row>
    <row r="65" spans="4:15" s="333" customFormat="1" x14ac:dyDescent="0.3">
      <c r="D65" s="356"/>
      <c r="E65" s="356"/>
      <c r="F65" s="356"/>
      <c r="O65" s="368"/>
    </row>
    <row r="66" spans="4:15" s="333" customFormat="1" x14ac:dyDescent="0.3">
      <c r="D66" s="356"/>
      <c r="E66" s="356"/>
      <c r="F66" s="356"/>
      <c r="O66" s="368"/>
    </row>
    <row r="67" spans="4:15" s="333" customFormat="1" x14ac:dyDescent="0.3">
      <c r="D67" s="356"/>
      <c r="E67" s="356"/>
      <c r="F67" s="356"/>
      <c r="O67" s="368"/>
    </row>
    <row r="68" spans="4:15" s="333" customFormat="1" x14ac:dyDescent="0.3">
      <c r="D68" s="356"/>
      <c r="E68" s="356"/>
      <c r="F68" s="356"/>
      <c r="O68" s="368"/>
    </row>
    <row r="69" spans="4:15" s="333" customFormat="1" x14ac:dyDescent="0.3">
      <c r="D69" s="356"/>
      <c r="E69" s="356"/>
      <c r="F69" s="356"/>
      <c r="O69" s="368"/>
    </row>
    <row r="70" spans="4:15" s="333" customFormat="1" x14ac:dyDescent="0.3">
      <c r="D70" s="356"/>
      <c r="E70" s="356"/>
      <c r="F70" s="356"/>
      <c r="O70" s="368"/>
    </row>
    <row r="71" spans="4:15" s="333" customFormat="1" x14ac:dyDescent="0.3">
      <c r="D71" s="356"/>
      <c r="E71" s="356"/>
      <c r="F71" s="356"/>
      <c r="O71" s="368"/>
    </row>
    <row r="72" spans="4:15" s="333" customFormat="1" x14ac:dyDescent="0.3">
      <c r="D72" s="356"/>
      <c r="E72" s="356"/>
      <c r="F72" s="356"/>
      <c r="O72" s="368"/>
    </row>
    <row r="73" spans="4:15" s="333" customFormat="1" x14ac:dyDescent="0.3">
      <c r="D73" s="356"/>
      <c r="E73" s="356"/>
      <c r="F73" s="356"/>
      <c r="O73" s="368"/>
    </row>
    <row r="74" spans="4:15" s="333" customFormat="1" x14ac:dyDescent="0.3">
      <c r="D74" s="356"/>
      <c r="E74" s="356"/>
      <c r="F74" s="356"/>
      <c r="O74" s="368"/>
    </row>
    <row r="75" spans="4:15" s="333" customFormat="1" x14ac:dyDescent="0.3">
      <c r="D75" s="356"/>
      <c r="E75" s="356"/>
      <c r="F75" s="356"/>
      <c r="O75" s="368"/>
    </row>
    <row r="76" spans="4:15" s="333" customFormat="1" x14ac:dyDescent="0.3">
      <c r="D76" s="356"/>
      <c r="E76" s="356"/>
      <c r="F76" s="356"/>
      <c r="O76" s="368"/>
    </row>
    <row r="77" spans="4:15" s="333" customFormat="1" x14ac:dyDescent="0.3">
      <c r="D77" s="356"/>
      <c r="E77" s="356"/>
      <c r="F77" s="356"/>
      <c r="O77" s="368"/>
    </row>
    <row r="78" spans="4:15" s="333" customFormat="1" x14ac:dyDescent="0.3">
      <c r="D78" s="356"/>
      <c r="E78" s="356"/>
      <c r="F78" s="356"/>
      <c r="O78" s="368"/>
    </row>
    <row r="79" spans="4:15" s="333" customFormat="1" x14ac:dyDescent="0.3">
      <c r="D79" s="356"/>
      <c r="E79" s="356"/>
      <c r="F79" s="356"/>
      <c r="O79" s="368"/>
    </row>
    <row r="80" spans="4:15" s="333" customFormat="1" x14ac:dyDescent="0.3">
      <c r="D80" s="356"/>
      <c r="E80" s="356"/>
      <c r="F80" s="356"/>
      <c r="O80" s="368"/>
    </row>
    <row r="81" spans="4:15" s="333" customFormat="1" x14ac:dyDescent="0.3">
      <c r="D81" s="356"/>
      <c r="E81" s="356"/>
      <c r="F81" s="356"/>
      <c r="O81" s="368"/>
    </row>
    <row r="82" spans="4:15" s="333" customFormat="1" x14ac:dyDescent="0.3">
      <c r="D82" s="356"/>
      <c r="E82" s="356"/>
      <c r="F82" s="356"/>
      <c r="O82" s="368"/>
    </row>
    <row r="83" spans="4:15" s="333" customFormat="1" x14ac:dyDescent="0.3">
      <c r="D83" s="356"/>
      <c r="E83" s="356"/>
      <c r="F83" s="356"/>
      <c r="O83" s="368"/>
    </row>
    <row r="84" spans="4:15" s="333" customFormat="1" x14ac:dyDescent="0.3">
      <c r="D84" s="356"/>
      <c r="E84" s="356"/>
      <c r="F84" s="356"/>
      <c r="O84" s="368"/>
    </row>
    <row r="85" spans="4:15" s="333" customFormat="1" x14ac:dyDescent="0.3">
      <c r="D85" s="356"/>
      <c r="E85" s="356"/>
      <c r="F85" s="356"/>
      <c r="O85" s="368"/>
    </row>
    <row r="86" spans="4:15" s="333" customFormat="1" x14ac:dyDescent="0.3">
      <c r="D86" s="356"/>
      <c r="E86" s="356"/>
      <c r="F86" s="356"/>
      <c r="O86" s="368"/>
    </row>
    <row r="87" spans="4:15" s="333" customFormat="1" x14ac:dyDescent="0.3">
      <c r="D87" s="356"/>
      <c r="E87" s="356"/>
      <c r="F87" s="356"/>
      <c r="O87" s="368"/>
    </row>
    <row r="88" spans="4:15" s="333" customFormat="1" x14ac:dyDescent="0.3">
      <c r="D88" s="356"/>
      <c r="E88" s="356"/>
      <c r="F88" s="356"/>
      <c r="O88" s="368"/>
    </row>
    <row r="89" spans="4:15" s="333" customFormat="1" x14ac:dyDescent="0.3">
      <c r="D89" s="356"/>
      <c r="E89" s="356"/>
      <c r="F89" s="356"/>
      <c r="O89" s="368"/>
    </row>
    <row r="90" spans="4:15" s="333" customFormat="1" x14ac:dyDescent="0.3">
      <c r="D90" s="356"/>
      <c r="E90" s="356"/>
      <c r="F90" s="356"/>
      <c r="O90" s="368"/>
    </row>
    <row r="91" spans="4:15" s="333" customFormat="1" x14ac:dyDescent="0.3">
      <c r="D91" s="356"/>
      <c r="E91" s="356"/>
      <c r="F91" s="356"/>
      <c r="O91" s="368"/>
    </row>
    <row r="92" spans="4:15" s="333" customFormat="1" x14ac:dyDescent="0.3">
      <c r="D92" s="356"/>
      <c r="E92" s="356"/>
      <c r="F92" s="356"/>
      <c r="O92" s="368"/>
    </row>
    <row r="93" spans="4:15" s="333" customFormat="1" x14ac:dyDescent="0.3">
      <c r="D93" s="356"/>
      <c r="E93" s="356"/>
      <c r="F93" s="356"/>
      <c r="O93" s="368"/>
    </row>
    <row r="94" spans="4:15" s="333" customFormat="1" x14ac:dyDescent="0.3">
      <c r="D94" s="356"/>
      <c r="E94" s="356"/>
      <c r="F94" s="356"/>
      <c r="O94" s="368"/>
    </row>
    <row r="95" spans="4:15" s="333" customFormat="1" x14ac:dyDescent="0.3">
      <c r="D95" s="356"/>
      <c r="E95" s="356"/>
      <c r="F95" s="356"/>
      <c r="O95" s="368"/>
    </row>
    <row r="96" spans="4:15" s="333" customFormat="1" x14ac:dyDescent="0.3">
      <c r="D96" s="356"/>
      <c r="E96" s="356"/>
      <c r="F96" s="356"/>
      <c r="O96" s="368"/>
    </row>
    <row r="97" spans="4:15" s="333" customFormat="1" x14ac:dyDescent="0.3">
      <c r="D97" s="356"/>
      <c r="E97" s="356"/>
      <c r="F97" s="356"/>
      <c r="O97" s="368"/>
    </row>
    <row r="98" spans="4:15" s="333" customFormat="1" x14ac:dyDescent="0.3">
      <c r="D98" s="356"/>
      <c r="E98" s="356"/>
      <c r="F98" s="356"/>
      <c r="O98" s="368"/>
    </row>
    <row r="99" spans="4:15" s="333" customFormat="1" x14ac:dyDescent="0.3">
      <c r="D99" s="356"/>
      <c r="E99" s="356"/>
      <c r="F99" s="356"/>
      <c r="O99" s="368"/>
    </row>
    <row r="100" spans="4:15" s="333" customFormat="1" x14ac:dyDescent="0.3">
      <c r="D100" s="356"/>
      <c r="E100" s="356"/>
      <c r="F100" s="356"/>
      <c r="O100" s="368"/>
    </row>
    <row r="101" spans="4:15" s="333" customFormat="1" x14ac:dyDescent="0.3">
      <c r="D101" s="356"/>
      <c r="E101" s="356"/>
      <c r="F101" s="356"/>
      <c r="O101" s="368"/>
    </row>
    <row r="102" spans="4:15" s="333" customFormat="1" x14ac:dyDescent="0.3">
      <c r="D102" s="356"/>
      <c r="E102" s="356"/>
      <c r="F102" s="356"/>
      <c r="O102" s="368"/>
    </row>
    <row r="103" spans="4:15" s="333" customFormat="1" x14ac:dyDescent="0.3">
      <c r="D103" s="356"/>
      <c r="E103" s="356"/>
      <c r="F103" s="356"/>
      <c r="O103" s="368"/>
    </row>
    <row r="104" spans="4:15" s="333" customFormat="1" x14ac:dyDescent="0.3">
      <c r="D104" s="356"/>
      <c r="E104" s="356"/>
      <c r="F104" s="356"/>
      <c r="O104" s="368"/>
    </row>
    <row r="105" spans="4:15" s="333" customFormat="1" x14ac:dyDescent="0.3">
      <c r="D105" s="356"/>
      <c r="E105" s="356"/>
      <c r="F105" s="356"/>
      <c r="O105" s="368"/>
    </row>
    <row r="106" spans="4:15" s="333" customFormat="1" x14ac:dyDescent="0.3">
      <c r="D106" s="356"/>
      <c r="E106" s="356"/>
      <c r="F106" s="356"/>
      <c r="O106" s="368"/>
    </row>
    <row r="107" spans="4:15" s="333" customFormat="1" x14ac:dyDescent="0.3">
      <c r="D107" s="356"/>
      <c r="E107" s="356"/>
      <c r="F107" s="356"/>
      <c r="O107" s="368"/>
    </row>
    <row r="108" spans="4:15" s="333" customFormat="1" x14ac:dyDescent="0.3">
      <c r="D108" s="356"/>
      <c r="E108" s="356"/>
      <c r="F108" s="356"/>
      <c r="O108" s="368"/>
    </row>
    <row r="109" spans="4:15" s="333" customFormat="1" x14ac:dyDescent="0.3">
      <c r="D109" s="356"/>
      <c r="E109" s="356"/>
      <c r="F109" s="356"/>
      <c r="O109" s="368"/>
    </row>
    <row r="110" spans="4:15" s="333" customFormat="1" x14ac:dyDescent="0.3">
      <c r="D110" s="356"/>
      <c r="E110" s="356"/>
      <c r="F110" s="356"/>
      <c r="O110" s="368"/>
    </row>
    <row r="111" spans="4:15" s="333" customFormat="1" x14ac:dyDescent="0.3">
      <c r="D111" s="356"/>
      <c r="E111" s="356"/>
      <c r="F111" s="356"/>
      <c r="O111" s="368"/>
    </row>
    <row r="112" spans="4:15" s="333" customFormat="1" x14ac:dyDescent="0.3">
      <c r="D112" s="356"/>
      <c r="E112" s="356"/>
      <c r="F112" s="356"/>
      <c r="O112" s="368"/>
    </row>
    <row r="113" spans="4:15" s="333" customFormat="1" x14ac:dyDescent="0.3">
      <c r="D113" s="356"/>
      <c r="E113" s="356"/>
      <c r="F113" s="356"/>
      <c r="O113" s="368"/>
    </row>
    <row r="114" spans="4:15" s="333" customFormat="1" x14ac:dyDescent="0.3">
      <c r="D114" s="356"/>
      <c r="E114" s="356"/>
      <c r="F114" s="356"/>
      <c r="O114" s="368"/>
    </row>
    <row r="115" spans="4:15" s="333" customFormat="1" x14ac:dyDescent="0.3">
      <c r="D115" s="356"/>
      <c r="E115" s="356"/>
      <c r="F115" s="356"/>
      <c r="O115" s="368"/>
    </row>
    <row r="116" spans="4:15" s="333" customFormat="1" x14ac:dyDescent="0.3">
      <c r="D116" s="356"/>
      <c r="E116" s="356"/>
      <c r="F116" s="356"/>
      <c r="O116" s="368"/>
    </row>
    <row r="117" spans="4:15" s="333" customFormat="1" x14ac:dyDescent="0.3">
      <c r="D117" s="356"/>
      <c r="E117" s="356"/>
      <c r="F117" s="356"/>
      <c r="O117" s="368"/>
    </row>
    <row r="118" spans="4:15" s="333" customFormat="1" x14ac:dyDescent="0.3">
      <c r="D118" s="356"/>
      <c r="E118" s="356"/>
      <c r="F118" s="356"/>
      <c r="O118" s="368"/>
    </row>
    <row r="119" spans="4:15" s="333" customFormat="1" x14ac:dyDescent="0.3">
      <c r="D119" s="356"/>
      <c r="E119" s="356"/>
      <c r="F119" s="356"/>
      <c r="O119" s="368"/>
    </row>
    <row r="120" spans="4:15" s="333" customFormat="1" x14ac:dyDescent="0.3">
      <c r="D120" s="356"/>
      <c r="E120" s="356"/>
      <c r="F120" s="356"/>
      <c r="O120" s="368"/>
    </row>
    <row r="121" spans="4:15" s="333" customFormat="1" x14ac:dyDescent="0.3">
      <c r="D121" s="356"/>
      <c r="E121" s="356"/>
      <c r="F121" s="356"/>
      <c r="O121" s="368"/>
    </row>
    <row r="122" spans="4:15" s="333" customFormat="1" x14ac:dyDescent="0.3">
      <c r="D122" s="356"/>
      <c r="E122" s="356"/>
      <c r="F122" s="356"/>
      <c r="O122" s="368"/>
    </row>
    <row r="123" spans="4:15" s="333" customFormat="1" x14ac:dyDescent="0.3">
      <c r="D123" s="356"/>
      <c r="E123" s="356"/>
      <c r="F123" s="356"/>
      <c r="O123" s="368"/>
    </row>
    <row r="124" spans="4:15" s="333" customFormat="1" x14ac:dyDescent="0.3">
      <c r="D124" s="356"/>
      <c r="E124" s="356"/>
      <c r="F124" s="356"/>
      <c r="O124" s="368"/>
    </row>
    <row r="125" spans="4:15" s="333" customFormat="1" x14ac:dyDescent="0.3">
      <c r="D125" s="356"/>
      <c r="E125" s="356"/>
      <c r="F125" s="356"/>
      <c r="O125" s="368"/>
    </row>
    <row r="126" spans="4:15" s="333" customFormat="1" x14ac:dyDescent="0.3">
      <c r="D126" s="356"/>
      <c r="E126" s="356"/>
      <c r="F126" s="356"/>
      <c r="O126" s="368"/>
    </row>
    <row r="127" spans="4:15" s="333" customFormat="1" x14ac:dyDescent="0.3">
      <c r="D127" s="356"/>
      <c r="E127" s="356"/>
      <c r="F127" s="356"/>
      <c r="O127" s="368"/>
    </row>
    <row r="128" spans="4:15" s="333" customFormat="1" x14ac:dyDescent="0.3">
      <c r="D128" s="356"/>
      <c r="E128" s="356"/>
      <c r="F128" s="356"/>
      <c r="O128" s="368"/>
    </row>
    <row r="129" spans="4:15" s="333" customFormat="1" x14ac:dyDescent="0.3">
      <c r="D129" s="356"/>
      <c r="E129" s="356"/>
      <c r="F129" s="356"/>
      <c r="O129" s="368"/>
    </row>
    <row r="130" spans="4:15" s="333" customFormat="1" x14ac:dyDescent="0.3">
      <c r="D130" s="356"/>
      <c r="E130" s="356"/>
      <c r="F130" s="356"/>
      <c r="O130" s="368"/>
    </row>
    <row r="131" spans="4:15" s="333" customFormat="1" x14ac:dyDescent="0.3">
      <c r="D131" s="356"/>
      <c r="E131" s="356"/>
      <c r="F131" s="356"/>
      <c r="O131" s="368"/>
    </row>
    <row r="132" spans="4:15" s="333" customFormat="1" x14ac:dyDescent="0.3">
      <c r="D132" s="356"/>
      <c r="E132" s="356"/>
      <c r="F132" s="356"/>
      <c r="O132" s="368"/>
    </row>
    <row r="133" spans="4:15" s="333" customFormat="1" x14ac:dyDescent="0.3">
      <c r="D133" s="356"/>
      <c r="E133" s="356"/>
      <c r="F133" s="356"/>
      <c r="O133" s="368"/>
    </row>
    <row r="134" spans="4:15" s="333" customFormat="1" x14ac:dyDescent="0.3">
      <c r="D134" s="356"/>
      <c r="E134" s="356"/>
      <c r="F134" s="356"/>
      <c r="O134" s="368"/>
    </row>
    <row r="135" spans="4:15" s="333" customFormat="1" x14ac:dyDescent="0.3">
      <c r="D135" s="356"/>
      <c r="E135" s="356"/>
      <c r="F135" s="356"/>
      <c r="O135" s="368"/>
    </row>
    <row r="136" spans="4:15" s="333" customFormat="1" x14ac:dyDescent="0.3">
      <c r="D136" s="356"/>
      <c r="E136" s="356"/>
      <c r="F136" s="356"/>
      <c r="O136" s="368"/>
    </row>
    <row r="137" spans="4:15" s="333" customFormat="1" x14ac:dyDescent="0.3">
      <c r="D137" s="356"/>
      <c r="E137" s="356"/>
      <c r="F137" s="356"/>
      <c r="O137" s="368"/>
    </row>
    <row r="138" spans="4:15" s="333" customFormat="1" x14ac:dyDescent="0.3">
      <c r="D138" s="356"/>
      <c r="E138" s="356"/>
      <c r="F138" s="356"/>
      <c r="O138" s="368"/>
    </row>
    <row r="139" spans="4:15" s="333" customFormat="1" x14ac:dyDescent="0.3">
      <c r="D139" s="356"/>
      <c r="E139" s="356"/>
      <c r="F139" s="356"/>
      <c r="O139" s="368"/>
    </row>
    <row r="140" spans="4:15" s="333" customFormat="1" x14ac:dyDescent="0.3">
      <c r="D140" s="356"/>
      <c r="E140" s="356"/>
      <c r="F140" s="356"/>
      <c r="O140" s="368"/>
    </row>
    <row r="141" spans="4:15" s="333" customFormat="1" x14ac:dyDescent="0.3">
      <c r="D141" s="356"/>
      <c r="E141" s="356"/>
      <c r="F141" s="356"/>
      <c r="O141" s="368"/>
    </row>
    <row r="142" spans="4:15" s="333" customFormat="1" x14ac:dyDescent="0.3">
      <c r="D142" s="356"/>
      <c r="E142" s="356"/>
      <c r="F142" s="356"/>
      <c r="O142" s="368"/>
    </row>
    <row r="143" spans="4:15" s="333" customFormat="1" x14ac:dyDescent="0.3">
      <c r="D143" s="356"/>
      <c r="E143" s="356"/>
      <c r="F143" s="356"/>
      <c r="O143" s="368"/>
    </row>
    <row r="144" spans="4:15" s="333" customFormat="1" x14ac:dyDescent="0.3">
      <c r="D144" s="356"/>
      <c r="E144" s="356"/>
      <c r="F144" s="356"/>
      <c r="O144" s="368"/>
    </row>
    <row r="145" spans="4:15" s="333" customFormat="1" x14ac:dyDescent="0.3">
      <c r="D145" s="356"/>
      <c r="E145" s="356"/>
      <c r="F145" s="356"/>
      <c r="O145" s="368"/>
    </row>
    <row r="146" spans="4:15" s="333" customFormat="1" x14ac:dyDescent="0.3">
      <c r="D146" s="356"/>
      <c r="E146" s="356"/>
      <c r="F146" s="356"/>
      <c r="O146" s="368"/>
    </row>
    <row r="147" spans="4:15" s="333" customFormat="1" x14ac:dyDescent="0.3">
      <c r="D147" s="356"/>
      <c r="E147" s="356"/>
      <c r="F147" s="356"/>
      <c r="O147" s="368"/>
    </row>
    <row r="148" spans="4:15" s="333" customFormat="1" x14ac:dyDescent="0.3">
      <c r="D148" s="356"/>
      <c r="E148" s="356"/>
      <c r="F148" s="356"/>
      <c r="O148" s="368"/>
    </row>
    <row r="149" spans="4:15" s="333" customFormat="1" x14ac:dyDescent="0.3">
      <c r="D149" s="356"/>
      <c r="E149" s="356"/>
      <c r="F149" s="356"/>
      <c r="O149" s="368"/>
    </row>
    <row r="150" spans="4:15" s="333" customFormat="1" x14ac:dyDescent="0.3">
      <c r="D150" s="356"/>
      <c r="E150" s="356"/>
      <c r="F150" s="356"/>
      <c r="O150" s="368"/>
    </row>
    <row r="151" spans="4:15" s="333" customFormat="1" x14ac:dyDescent="0.3">
      <c r="D151" s="356"/>
      <c r="E151" s="356"/>
      <c r="F151" s="356"/>
      <c r="O151" s="368"/>
    </row>
    <row r="152" spans="4:15" s="333" customFormat="1" x14ac:dyDescent="0.3">
      <c r="D152" s="356"/>
      <c r="E152" s="356"/>
      <c r="F152" s="356"/>
      <c r="O152" s="368"/>
    </row>
    <row r="153" spans="4:15" s="333" customFormat="1" x14ac:dyDescent="0.3">
      <c r="D153" s="356"/>
      <c r="E153" s="356"/>
      <c r="F153" s="356"/>
      <c r="O153" s="368"/>
    </row>
    <row r="154" spans="4:15" s="333" customFormat="1" x14ac:dyDescent="0.3">
      <c r="D154" s="356"/>
      <c r="E154" s="356"/>
      <c r="F154" s="356"/>
      <c r="O154" s="368"/>
    </row>
    <row r="155" spans="4:15" s="333" customFormat="1" x14ac:dyDescent="0.3">
      <c r="D155" s="356"/>
      <c r="E155" s="356"/>
      <c r="F155" s="356"/>
      <c r="O155" s="368"/>
    </row>
    <row r="156" spans="4:15" s="333" customFormat="1" x14ac:dyDescent="0.3">
      <c r="D156" s="356"/>
      <c r="E156" s="356"/>
      <c r="F156" s="356"/>
      <c r="O156" s="368"/>
    </row>
    <row r="157" spans="4:15" s="333" customFormat="1" x14ac:dyDescent="0.3">
      <c r="D157" s="356"/>
      <c r="E157" s="356"/>
      <c r="F157" s="356"/>
      <c r="O157" s="368"/>
    </row>
    <row r="158" spans="4:15" s="333" customFormat="1" x14ac:dyDescent="0.3">
      <c r="D158" s="356"/>
      <c r="E158" s="356"/>
      <c r="F158" s="356"/>
      <c r="O158" s="368"/>
    </row>
    <row r="159" spans="4:15" s="333" customFormat="1" x14ac:dyDescent="0.3">
      <c r="D159" s="356"/>
      <c r="E159" s="356"/>
      <c r="F159" s="356"/>
      <c r="O159" s="368"/>
    </row>
    <row r="160" spans="4:15" s="333" customFormat="1" x14ac:dyDescent="0.3">
      <c r="D160" s="356"/>
      <c r="E160" s="356"/>
      <c r="F160" s="356"/>
      <c r="O160" s="368"/>
    </row>
    <row r="161" spans="4:15" s="333" customFormat="1" x14ac:dyDescent="0.3">
      <c r="D161" s="356"/>
      <c r="E161" s="356"/>
      <c r="F161" s="356"/>
      <c r="O161" s="368"/>
    </row>
    <row r="162" spans="4:15" s="333" customFormat="1" x14ac:dyDescent="0.3">
      <c r="D162" s="356"/>
      <c r="E162" s="356"/>
      <c r="F162" s="356"/>
      <c r="O162" s="368"/>
    </row>
    <row r="163" spans="4:15" s="333" customFormat="1" x14ac:dyDescent="0.3">
      <c r="D163" s="356"/>
      <c r="E163" s="356"/>
      <c r="F163" s="356"/>
      <c r="O163" s="368"/>
    </row>
    <row r="164" spans="4:15" s="333" customFormat="1" x14ac:dyDescent="0.3">
      <c r="D164" s="356"/>
      <c r="E164" s="356"/>
      <c r="F164" s="356"/>
      <c r="O164" s="368"/>
    </row>
    <row r="165" spans="4:15" s="333" customFormat="1" x14ac:dyDescent="0.3">
      <c r="D165" s="356"/>
      <c r="E165" s="356"/>
      <c r="F165" s="356"/>
      <c r="O165" s="368"/>
    </row>
    <row r="166" spans="4:15" s="333" customFormat="1" x14ac:dyDescent="0.3">
      <c r="D166" s="356"/>
      <c r="E166" s="356"/>
      <c r="F166" s="356"/>
      <c r="O166" s="368"/>
    </row>
    <row r="167" spans="4:15" s="333" customFormat="1" x14ac:dyDescent="0.3">
      <c r="D167" s="356"/>
      <c r="E167" s="356"/>
      <c r="F167" s="356"/>
      <c r="O167" s="368"/>
    </row>
    <row r="168" spans="4:15" s="333" customFormat="1" x14ac:dyDescent="0.3">
      <c r="D168" s="356"/>
      <c r="E168" s="356"/>
      <c r="F168" s="356"/>
      <c r="O168" s="368"/>
    </row>
    <row r="169" spans="4:15" s="333" customFormat="1" x14ac:dyDescent="0.3">
      <c r="D169" s="356"/>
      <c r="E169" s="356"/>
      <c r="F169" s="356"/>
      <c r="O169" s="368"/>
    </row>
    <row r="170" spans="4:15" s="333" customFormat="1" x14ac:dyDescent="0.3">
      <c r="D170" s="356"/>
      <c r="E170" s="356"/>
      <c r="F170" s="356"/>
      <c r="O170" s="368"/>
    </row>
    <row r="171" spans="4:15" s="333" customFormat="1" x14ac:dyDescent="0.3">
      <c r="D171" s="356"/>
      <c r="E171" s="356"/>
      <c r="F171" s="356"/>
      <c r="O171" s="368"/>
    </row>
    <row r="172" spans="4:15" s="333" customFormat="1" x14ac:dyDescent="0.3">
      <c r="D172" s="356"/>
      <c r="E172" s="356"/>
      <c r="F172" s="356"/>
      <c r="O172" s="368"/>
    </row>
    <row r="173" spans="4:15" s="333" customFormat="1" x14ac:dyDescent="0.3">
      <c r="D173" s="356"/>
      <c r="E173" s="356"/>
      <c r="F173" s="356"/>
      <c r="O173" s="368"/>
    </row>
    <row r="174" spans="4:15" s="333" customFormat="1" x14ac:dyDescent="0.3">
      <c r="D174" s="356"/>
      <c r="E174" s="356"/>
      <c r="F174" s="356"/>
      <c r="O174" s="368"/>
    </row>
    <row r="175" spans="4:15" s="333" customFormat="1" x14ac:dyDescent="0.3">
      <c r="D175" s="356"/>
      <c r="E175" s="356"/>
      <c r="F175" s="356"/>
      <c r="O175" s="368"/>
    </row>
    <row r="176" spans="4:15" s="333" customFormat="1" x14ac:dyDescent="0.3">
      <c r="D176" s="356"/>
      <c r="E176" s="356"/>
      <c r="F176" s="356"/>
      <c r="O176" s="368"/>
    </row>
    <row r="177" spans="4:15" s="333" customFormat="1" x14ac:dyDescent="0.3">
      <c r="D177" s="356"/>
      <c r="E177" s="356"/>
      <c r="F177" s="356"/>
      <c r="O177" s="368"/>
    </row>
    <row r="178" spans="4:15" s="333" customFormat="1" x14ac:dyDescent="0.3">
      <c r="D178" s="356"/>
      <c r="E178" s="356"/>
      <c r="F178" s="356"/>
      <c r="O178" s="368"/>
    </row>
    <row r="179" spans="4:15" s="333" customFormat="1" x14ac:dyDescent="0.3">
      <c r="D179" s="356"/>
      <c r="E179" s="356"/>
      <c r="F179" s="356"/>
      <c r="O179" s="368"/>
    </row>
    <row r="180" spans="4:15" s="333" customFormat="1" x14ac:dyDescent="0.3">
      <c r="D180" s="356"/>
      <c r="E180" s="356"/>
      <c r="F180" s="356"/>
      <c r="O180" s="368"/>
    </row>
    <row r="181" spans="4:15" s="333" customFormat="1" x14ac:dyDescent="0.3">
      <c r="D181" s="356"/>
      <c r="E181" s="356"/>
      <c r="F181" s="356"/>
      <c r="O181" s="368"/>
    </row>
    <row r="182" spans="4:15" s="333" customFormat="1" x14ac:dyDescent="0.3">
      <c r="D182" s="356"/>
      <c r="E182" s="356"/>
      <c r="F182" s="356"/>
      <c r="O182" s="368"/>
    </row>
    <row r="183" spans="4:15" s="333" customFormat="1" x14ac:dyDescent="0.3">
      <c r="D183" s="356"/>
      <c r="E183" s="356"/>
      <c r="F183" s="356"/>
      <c r="O183" s="368"/>
    </row>
    <row r="184" spans="4:15" s="333" customFormat="1" x14ac:dyDescent="0.3">
      <c r="D184" s="356"/>
      <c r="E184" s="356"/>
      <c r="F184" s="356"/>
      <c r="O184" s="368"/>
    </row>
    <row r="185" spans="4:15" s="333" customFormat="1" x14ac:dyDescent="0.3">
      <c r="D185" s="356"/>
      <c r="E185" s="356"/>
      <c r="F185" s="356"/>
      <c r="O185" s="368"/>
    </row>
    <row r="186" spans="4:15" s="333" customFormat="1" x14ac:dyDescent="0.3">
      <c r="D186" s="356"/>
      <c r="E186" s="356"/>
      <c r="F186" s="356"/>
      <c r="O186" s="368"/>
    </row>
    <row r="187" spans="4:15" s="333" customFormat="1" x14ac:dyDescent="0.3">
      <c r="D187" s="356"/>
      <c r="E187" s="356"/>
      <c r="F187" s="356"/>
      <c r="O187" s="368"/>
    </row>
    <row r="188" spans="4:15" s="333" customFormat="1" x14ac:dyDescent="0.3">
      <c r="D188" s="356"/>
      <c r="E188" s="356"/>
      <c r="F188" s="356"/>
      <c r="O188" s="368"/>
    </row>
    <row r="189" spans="4:15" s="333" customFormat="1" x14ac:dyDescent="0.3">
      <c r="D189" s="356"/>
      <c r="E189" s="356"/>
      <c r="F189" s="356"/>
      <c r="O189" s="368"/>
    </row>
    <row r="190" spans="4:15" s="333" customFormat="1" x14ac:dyDescent="0.3">
      <c r="D190" s="356"/>
      <c r="E190" s="356"/>
      <c r="F190" s="356"/>
      <c r="O190" s="368"/>
    </row>
    <row r="191" spans="4:15" s="333" customFormat="1" x14ac:dyDescent="0.3">
      <c r="D191" s="356"/>
      <c r="E191" s="356"/>
      <c r="F191" s="356"/>
      <c r="O191" s="368"/>
    </row>
    <row r="192" spans="4:15" s="333" customFormat="1" x14ac:dyDescent="0.3">
      <c r="D192" s="356"/>
      <c r="E192" s="356"/>
      <c r="F192" s="356"/>
      <c r="O192" s="368"/>
    </row>
    <row r="193" spans="4:15" s="333" customFormat="1" x14ac:dyDescent="0.3">
      <c r="D193" s="356"/>
      <c r="E193" s="356"/>
      <c r="F193" s="356"/>
      <c r="O193" s="368"/>
    </row>
    <row r="194" spans="4:15" s="333" customFormat="1" x14ac:dyDescent="0.3">
      <c r="D194" s="356"/>
      <c r="E194" s="356"/>
      <c r="F194" s="356"/>
      <c r="O194" s="368"/>
    </row>
    <row r="195" spans="4:15" s="333" customFormat="1" x14ac:dyDescent="0.3">
      <c r="D195" s="356"/>
      <c r="E195" s="356"/>
      <c r="F195" s="356"/>
      <c r="O195" s="368"/>
    </row>
    <row r="196" spans="4:15" s="333" customFormat="1" x14ac:dyDescent="0.3">
      <c r="D196" s="356"/>
      <c r="E196" s="356"/>
      <c r="F196" s="356"/>
      <c r="O196" s="368"/>
    </row>
    <row r="197" spans="4:15" s="333" customFormat="1" x14ac:dyDescent="0.3">
      <c r="D197" s="356"/>
      <c r="E197" s="356"/>
      <c r="F197" s="356"/>
      <c r="O197" s="368"/>
    </row>
    <row r="198" spans="4:15" s="333" customFormat="1" x14ac:dyDescent="0.3">
      <c r="D198" s="356"/>
      <c r="E198" s="356"/>
      <c r="F198" s="356"/>
      <c r="O198" s="368"/>
    </row>
    <row r="199" spans="4:15" s="333" customFormat="1" x14ac:dyDescent="0.3">
      <c r="D199" s="356"/>
      <c r="E199" s="356"/>
      <c r="F199" s="356"/>
      <c r="O199" s="368"/>
    </row>
    <row r="200" spans="4:15" s="333" customFormat="1" x14ac:dyDescent="0.3">
      <c r="D200" s="356"/>
      <c r="E200" s="356"/>
      <c r="F200" s="356"/>
      <c r="O200" s="368"/>
    </row>
    <row r="201" spans="4:15" s="333" customFormat="1" x14ac:dyDescent="0.3">
      <c r="D201" s="356"/>
      <c r="E201" s="356"/>
      <c r="F201" s="356"/>
      <c r="O201" s="368"/>
    </row>
    <row r="202" spans="4:15" s="333" customFormat="1" x14ac:dyDescent="0.3">
      <c r="D202" s="356"/>
      <c r="E202" s="356"/>
      <c r="F202" s="356"/>
      <c r="O202" s="368"/>
    </row>
    <row r="203" spans="4:15" s="333" customFormat="1" x14ac:dyDescent="0.3">
      <c r="D203" s="356"/>
      <c r="E203" s="356"/>
      <c r="F203" s="356"/>
      <c r="O203" s="368"/>
    </row>
    <row r="204" spans="4:15" s="333" customFormat="1" x14ac:dyDescent="0.3">
      <c r="D204" s="356"/>
      <c r="E204" s="356"/>
      <c r="F204" s="356"/>
      <c r="O204" s="368"/>
    </row>
    <row r="205" spans="4:15" s="333" customFormat="1" x14ac:dyDescent="0.3">
      <c r="D205" s="356"/>
      <c r="E205" s="356"/>
      <c r="F205" s="356"/>
      <c r="O205" s="368"/>
    </row>
    <row r="206" spans="4:15" s="333" customFormat="1" x14ac:dyDescent="0.3">
      <c r="D206" s="356"/>
      <c r="E206" s="356"/>
      <c r="F206" s="356"/>
      <c r="O206" s="368"/>
    </row>
    <row r="207" spans="4:15" s="333" customFormat="1" x14ac:dyDescent="0.3">
      <c r="D207" s="356"/>
      <c r="E207" s="356"/>
      <c r="F207" s="356"/>
      <c r="O207" s="368"/>
    </row>
    <row r="208" spans="4:15" s="333" customFormat="1" x14ac:dyDescent="0.3">
      <c r="D208" s="356"/>
      <c r="E208" s="356"/>
      <c r="F208" s="356"/>
      <c r="O208" s="368"/>
    </row>
    <row r="209" spans="4:15" s="333" customFormat="1" x14ac:dyDescent="0.3">
      <c r="D209" s="356"/>
      <c r="E209" s="356"/>
      <c r="F209" s="356"/>
      <c r="O209" s="368"/>
    </row>
    <row r="210" spans="4:15" s="333" customFormat="1" x14ac:dyDescent="0.3">
      <c r="D210" s="356"/>
      <c r="E210" s="356"/>
      <c r="F210" s="356"/>
      <c r="O210" s="368"/>
    </row>
    <row r="211" spans="4:15" s="333" customFormat="1" x14ac:dyDescent="0.3">
      <c r="D211" s="356"/>
      <c r="E211" s="356"/>
      <c r="F211" s="356"/>
      <c r="O211" s="368"/>
    </row>
    <row r="212" spans="4:15" s="333" customFormat="1" x14ac:dyDescent="0.3">
      <c r="D212" s="356"/>
      <c r="E212" s="356"/>
      <c r="F212" s="356"/>
      <c r="O212" s="368"/>
    </row>
    <row r="213" spans="4:15" s="333" customFormat="1" x14ac:dyDescent="0.3">
      <c r="D213" s="356"/>
      <c r="E213" s="356"/>
      <c r="F213" s="356"/>
      <c r="O213" s="368"/>
    </row>
    <row r="214" spans="4:15" s="333" customFormat="1" x14ac:dyDescent="0.3">
      <c r="D214" s="356"/>
      <c r="E214" s="356"/>
      <c r="F214" s="356"/>
      <c r="O214" s="368"/>
    </row>
    <row r="215" spans="4:15" s="333" customFormat="1" x14ac:dyDescent="0.3">
      <c r="D215" s="356"/>
      <c r="E215" s="356"/>
      <c r="F215" s="356"/>
      <c r="O215" s="368"/>
    </row>
    <row r="216" spans="4:15" s="333" customFormat="1" x14ac:dyDescent="0.3">
      <c r="D216" s="356"/>
      <c r="E216" s="356"/>
      <c r="F216" s="356"/>
      <c r="O216" s="368"/>
    </row>
    <row r="217" spans="4:15" s="333" customFormat="1" x14ac:dyDescent="0.3">
      <c r="D217" s="356"/>
      <c r="E217" s="356"/>
      <c r="F217" s="356"/>
      <c r="O217" s="368"/>
    </row>
    <row r="218" spans="4:15" s="333" customFormat="1" x14ac:dyDescent="0.3">
      <c r="D218" s="356"/>
      <c r="E218" s="356"/>
      <c r="F218" s="356"/>
      <c r="O218" s="368"/>
    </row>
    <row r="219" spans="4:15" s="333" customFormat="1" x14ac:dyDescent="0.3">
      <c r="D219" s="356"/>
      <c r="E219" s="356"/>
      <c r="F219" s="356"/>
      <c r="O219" s="368"/>
    </row>
    <row r="220" spans="4:15" s="333" customFormat="1" x14ac:dyDescent="0.3">
      <c r="D220" s="356"/>
      <c r="E220" s="356"/>
      <c r="F220" s="356"/>
      <c r="O220" s="368"/>
    </row>
    <row r="221" spans="4:15" s="333" customFormat="1" x14ac:dyDescent="0.3">
      <c r="D221" s="356"/>
      <c r="E221" s="356"/>
      <c r="F221" s="356"/>
      <c r="O221" s="368"/>
    </row>
    <row r="222" spans="4:15" s="333" customFormat="1" x14ac:dyDescent="0.3">
      <c r="D222" s="356"/>
      <c r="E222" s="356"/>
      <c r="F222" s="356"/>
      <c r="O222" s="368"/>
    </row>
    <row r="223" spans="4:15" s="333" customFormat="1" x14ac:dyDescent="0.3">
      <c r="D223" s="356"/>
      <c r="E223" s="356"/>
      <c r="F223" s="356"/>
      <c r="O223" s="368"/>
    </row>
    <row r="224" spans="4:15" s="333" customFormat="1" x14ac:dyDescent="0.3">
      <c r="D224" s="356"/>
      <c r="E224" s="356"/>
      <c r="F224" s="356"/>
      <c r="O224" s="368"/>
    </row>
    <row r="225" spans="4:15" s="333" customFormat="1" x14ac:dyDescent="0.3">
      <c r="D225" s="356"/>
      <c r="E225" s="356"/>
      <c r="F225" s="356"/>
      <c r="O225" s="368"/>
    </row>
    <row r="226" spans="4:15" s="333" customFormat="1" x14ac:dyDescent="0.3">
      <c r="D226" s="356"/>
      <c r="E226" s="356"/>
      <c r="F226" s="356"/>
      <c r="O226" s="368"/>
    </row>
    <row r="227" spans="4:15" s="333" customFormat="1" x14ac:dyDescent="0.3">
      <c r="D227" s="356"/>
      <c r="E227" s="356"/>
      <c r="F227" s="356"/>
      <c r="O227" s="368"/>
    </row>
    <row r="228" spans="4:15" s="333" customFormat="1" x14ac:dyDescent="0.3">
      <c r="D228" s="356"/>
      <c r="E228" s="356"/>
      <c r="F228" s="356"/>
      <c r="O228" s="368"/>
    </row>
    <row r="229" spans="4:15" s="333" customFormat="1" x14ac:dyDescent="0.3">
      <c r="D229" s="356"/>
      <c r="E229" s="356"/>
      <c r="F229" s="356"/>
      <c r="O229" s="368"/>
    </row>
    <row r="230" spans="4:15" s="333" customFormat="1" x14ac:dyDescent="0.3">
      <c r="D230" s="356"/>
      <c r="E230" s="356"/>
      <c r="F230" s="356"/>
      <c r="O230" s="368"/>
    </row>
  </sheetData>
  <sheetProtection algorithmName="SHA-512" hashValue="UX/mew6WE2tOHyXAlDJ93Z1Z2/DHDoJcv2jrOc/4lFE4tKroeCNi4uufFC4mYzWGCXhcuiYtVqdHycUIAPUrnw==" saltValue="lPv84C/tPK4uoeXdZzJWCg==" spinCount="100000" sheet="1" formatCells="0"/>
  <mergeCells count="34"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G1:H1"/>
    <mergeCell ref="I1:L1"/>
    <mergeCell ref="G2:H2"/>
    <mergeCell ref="I2:L2"/>
    <mergeCell ref="B3:D3"/>
    <mergeCell ref="E3:F3"/>
    <mergeCell ref="G3:H3"/>
    <mergeCell ref="I3:L3"/>
  </mergeCells>
  <pageMargins left="0.75" right="0.75" top="1" bottom="1" header="0.5" footer="0.5"/>
  <pageSetup scale="64" fitToWidth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94B9-9667-489A-A4CF-94C968B650AE}">
  <sheetPr codeName="Sheet2">
    <pageSetUpPr fitToPage="1"/>
  </sheetPr>
  <dimension ref="A1:Q59"/>
  <sheetViews>
    <sheetView tabSelected="1" zoomScale="67" zoomScaleNormal="100" zoomScaleSheetLayoutView="98" workbookViewId="0">
      <selection activeCell="E4" sqref="E4:F4"/>
    </sheetView>
  </sheetViews>
  <sheetFormatPr defaultColWidth="8.6640625" defaultRowHeight="14.4" x14ac:dyDescent="0.3"/>
  <cols>
    <col min="2" max="2" width="46.44140625" bestFit="1" customWidth="1"/>
    <col min="3" max="3" width="17.109375" bestFit="1" customWidth="1"/>
    <col min="4" max="4" width="11.44140625" bestFit="1" customWidth="1"/>
    <col min="5" max="5" width="25.6640625" customWidth="1"/>
    <col min="6" max="6" width="8.109375" bestFit="1" customWidth="1"/>
    <col min="12" max="12" width="15.44140625" bestFit="1" customWidth="1"/>
    <col min="15" max="15" width="0" hidden="1" customWidth="1"/>
  </cols>
  <sheetData>
    <row r="1" spans="1:17" ht="24.6" x14ac:dyDescent="0.4">
      <c r="A1" s="382"/>
      <c r="B1" s="383" t="s">
        <v>379</v>
      </c>
      <c r="C1" s="384"/>
      <c r="D1" s="385"/>
      <c r="E1" s="385"/>
      <c r="F1" s="385"/>
      <c r="G1" s="475" t="s">
        <v>380</v>
      </c>
      <c r="H1" s="476"/>
      <c r="I1" s="477" t="s">
        <v>381</v>
      </c>
      <c r="J1" s="478"/>
      <c r="K1" s="478"/>
      <c r="L1" s="479"/>
      <c r="M1" s="409"/>
      <c r="N1" s="333"/>
      <c r="O1" s="368"/>
      <c r="P1" s="333"/>
      <c r="Q1" s="333"/>
    </row>
    <row r="2" spans="1:17" ht="18" thickBot="1" x14ac:dyDescent="0.35">
      <c r="A2" s="382"/>
      <c r="B2" s="386"/>
      <c r="C2" s="387"/>
      <c r="D2" s="388"/>
      <c r="E2" s="388"/>
      <c r="F2" s="388"/>
      <c r="G2" s="480" t="s">
        <v>382</v>
      </c>
      <c r="H2" s="481"/>
      <c r="I2" s="482"/>
      <c r="J2" s="483"/>
      <c r="K2" s="483"/>
      <c r="L2" s="484"/>
      <c r="M2" s="410"/>
      <c r="N2" s="333"/>
      <c r="O2" s="368"/>
      <c r="P2" s="333"/>
      <c r="Q2" s="333"/>
    </row>
    <row r="3" spans="1:17" ht="15.6" x14ac:dyDescent="0.3">
      <c r="A3" s="382"/>
      <c r="B3" s="485" t="s">
        <v>383</v>
      </c>
      <c r="C3" s="486"/>
      <c r="D3" s="487"/>
      <c r="E3" s="488"/>
      <c r="F3" s="489"/>
      <c r="G3" s="475" t="s">
        <v>384</v>
      </c>
      <c r="H3" s="476"/>
      <c r="I3" s="490"/>
      <c r="J3" s="491"/>
      <c r="K3" s="491"/>
      <c r="L3" s="492"/>
      <c r="M3" s="409"/>
      <c r="N3" s="333"/>
      <c r="O3" s="368"/>
      <c r="P3" s="333"/>
      <c r="Q3" s="333"/>
    </row>
    <row r="4" spans="1:17" ht="33.450000000000003" customHeight="1" thickBot="1" x14ac:dyDescent="0.45">
      <c r="A4" s="382"/>
      <c r="B4" s="451" t="str">
        <f>IF(Quote!D3="","",Quote!D3)</f>
        <v>12.99 BOSS DAY</v>
      </c>
      <c r="C4" s="452"/>
      <c r="D4" s="453"/>
      <c r="E4" s="473"/>
      <c r="F4" s="474"/>
      <c r="G4" s="411"/>
      <c r="H4" s="412"/>
      <c r="I4" s="387"/>
      <c r="J4" s="387"/>
      <c r="K4" s="387"/>
      <c r="L4" s="413">
        <f ca="1">NOW()</f>
        <v>46104.111169328702</v>
      </c>
      <c r="M4" s="414"/>
      <c r="N4" s="333"/>
      <c r="O4" s="368"/>
      <c r="P4" s="333"/>
      <c r="Q4" s="333"/>
    </row>
    <row r="5" spans="1:17" ht="27" x14ac:dyDescent="0.3">
      <c r="A5" s="382"/>
      <c r="B5" s="389" t="s">
        <v>385</v>
      </c>
      <c r="C5" s="390" t="s">
        <v>386</v>
      </c>
      <c r="D5" s="391" t="s">
        <v>387</v>
      </c>
      <c r="E5" s="391" t="s">
        <v>388</v>
      </c>
      <c r="F5" s="392" t="s">
        <v>389</v>
      </c>
      <c r="G5" s="454" t="s">
        <v>390</v>
      </c>
      <c r="H5" s="454"/>
      <c r="I5" s="454"/>
      <c r="J5" s="454" t="s">
        <v>391</v>
      </c>
      <c r="K5" s="454"/>
      <c r="L5" s="454"/>
      <c r="M5" s="410"/>
      <c r="N5" s="333"/>
      <c r="O5" s="368"/>
      <c r="P5" s="333"/>
      <c r="Q5" s="333"/>
    </row>
    <row r="6" spans="1:17" ht="16.2" thickBot="1" x14ac:dyDescent="0.35">
      <c r="A6" s="382"/>
      <c r="B6" s="393"/>
      <c r="C6" s="394">
        <f>Quote!AD37</f>
        <v>0.56400000000000006</v>
      </c>
      <c r="D6" s="362" t="str">
        <f>Quote!D10</f>
        <v>BOUQUET</v>
      </c>
      <c r="E6" s="362"/>
      <c r="F6" s="455"/>
      <c r="G6" s="458"/>
      <c r="H6" s="458"/>
      <c r="I6" s="458"/>
      <c r="J6" s="458" t="e">
        <f>Quote!AA6</f>
        <v>#N/A</v>
      </c>
      <c r="K6" s="458"/>
      <c r="L6" s="458"/>
      <c r="M6" s="410"/>
      <c r="N6" s="333"/>
      <c r="O6" s="368"/>
      <c r="P6" s="333"/>
      <c r="Q6" s="333"/>
    </row>
    <row r="7" spans="1:17" ht="15" thickBot="1" x14ac:dyDescent="0.35">
      <c r="A7" s="382"/>
      <c r="B7" s="459" t="s">
        <v>393</v>
      </c>
      <c r="C7" s="460"/>
      <c r="D7" s="461" t="s">
        <v>394</v>
      </c>
      <c r="E7" s="462"/>
      <c r="F7" s="456"/>
      <c r="G7" s="463" t="s">
        <v>395</v>
      </c>
      <c r="H7" s="463"/>
      <c r="I7" s="463"/>
      <c r="J7" s="463"/>
      <c r="K7" s="463"/>
      <c r="L7" s="463"/>
      <c r="M7" s="464"/>
      <c r="N7" s="333"/>
      <c r="O7" s="368"/>
      <c r="P7" s="333"/>
      <c r="Q7" s="333"/>
    </row>
    <row r="8" spans="1:17" ht="15" thickBot="1" x14ac:dyDescent="0.35">
      <c r="A8" s="382"/>
      <c r="B8" s="465"/>
      <c r="C8" s="466"/>
      <c r="D8" s="467" t="str">
        <f>Quote!Z6</f>
        <v>QUARTER</v>
      </c>
      <c r="E8" s="468"/>
      <c r="F8" s="457"/>
      <c r="G8" s="469"/>
      <c r="H8" s="469"/>
      <c r="I8" s="469"/>
      <c r="J8" s="469"/>
      <c r="K8" s="469"/>
      <c r="L8" s="469"/>
      <c r="M8" s="470"/>
      <c r="N8" s="333"/>
      <c r="O8" s="368"/>
      <c r="P8" s="333"/>
      <c r="Q8" s="333"/>
    </row>
    <row r="9" spans="1:17" ht="15" thickBot="1" x14ac:dyDescent="0.35">
      <c r="A9" s="382"/>
      <c r="B9" s="395" t="s">
        <v>396</v>
      </c>
      <c r="C9" s="396" t="s">
        <v>43</v>
      </c>
      <c r="D9" s="396" t="s">
        <v>46</v>
      </c>
      <c r="E9" s="397" t="s">
        <v>397</v>
      </c>
      <c r="F9" s="398" t="s">
        <v>40</v>
      </c>
      <c r="G9" s="471"/>
      <c r="H9" s="471"/>
      <c r="I9" s="471"/>
      <c r="J9" s="471"/>
      <c r="K9" s="471"/>
      <c r="L9" s="471"/>
      <c r="M9" s="472"/>
      <c r="N9" s="333"/>
      <c r="O9" s="368"/>
      <c r="P9" s="333"/>
      <c r="Q9" s="333"/>
    </row>
    <row r="10" spans="1:17" x14ac:dyDescent="0.3">
      <c r="A10" s="382"/>
      <c r="B10" s="358" t="str">
        <f>IF(Quote!D15&lt;&gt;"",Quote!D15,"")</f>
        <v/>
      </c>
      <c r="C10" s="359" t="str">
        <f>IF(Quote!H15&lt;&gt;"",Quote!H15,"")</f>
        <v/>
      </c>
      <c r="D10" s="364" t="str">
        <f>IF(Quote!K15&lt;&gt;"",Quote!K15,"")</f>
        <v/>
      </c>
      <c r="E10" s="364" t="str">
        <f>IF(Quote!J15&lt;&gt;"",Quote!J15,"")</f>
        <v/>
      </c>
      <c r="F10" s="366" t="str">
        <f>IF(Quote!C15&lt;&gt;"",Quote!C15,"")</f>
        <v/>
      </c>
      <c r="G10" s="471"/>
      <c r="H10" s="471"/>
      <c r="I10" s="471"/>
      <c r="J10" s="471"/>
      <c r="K10" s="471"/>
      <c r="L10" s="471"/>
      <c r="M10" s="472"/>
      <c r="N10" s="333"/>
      <c r="O10" s="368" t="str">
        <f t="array" ref="O10">IFERROR(SMALL(IF(#REF!&lt;&gt;"",#REF!,""),ROW()-9),"")</f>
        <v/>
      </c>
      <c r="P10" s="333"/>
      <c r="Q10" s="333"/>
    </row>
    <row r="11" spans="1:17" x14ac:dyDescent="0.3">
      <c r="A11" s="382"/>
      <c r="B11" s="360" t="str">
        <f>IF(Quote!D16&lt;&gt;"",Quote!D16,"")</f>
        <v/>
      </c>
      <c r="C11" s="359" t="str">
        <f>IF(Quote!H16&lt;&gt;"",Quote!H16,"")</f>
        <v/>
      </c>
      <c r="D11" s="365" t="str">
        <f>IF(Quote!K16&lt;&gt;"",Quote!K16,"")</f>
        <v/>
      </c>
      <c r="E11" s="365" t="str">
        <f>IF(Quote!J16&lt;&gt;"",Quote!J16,"")</f>
        <v/>
      </c>
      <c r="F11" s="367" t="str">
        <f>IF(Quote!C16&lt;&gt;"",Quote!C16,"")</f>
        <v/>
      </c>
      <c r="G11" s="471"/>
      <c r="H11" s="471"/>
      <c r="I11" s="471"/>
      <c r="J11" s="471"/>
      <c r="K11" s="471"/>
      <c r="L11" s="471"/>
      <c r="M11" s="472"/>
      <c r="N11" s="333"/>
      <c r="O11" s="368" t="str">
        <f t="array" ref="O11">IFERROR(SMALL(IF(#REF!&lt;&gt;"",#REF!,""),ROW()-9),"")</f>
        <v/>
      </c>
      <c r="P11" s="333"/>
      <c r="Q11" s="333"/>
    </row>
    <row r="12" spans="1:17" x14ac:dyDescent="0.3">
      <c r="A12" s="382"/>
      <c r="B12" s="360" t="str">
        <f>IF(Quote!D17&lt;&gt;"",Quote!D17,"")</f>
        <v/>
      </c>
      <c r="C12" s="359" t="str">
        <f>IF(Quote!H17&lt;&gt;"",Quote!H17,"")</f>
        <v/>
      </c>
      <c r="D12" s="365" t="str">
        <f>IF(Quote!K17&lt;&gt;"",Quote!K17,"")</f>
        <v/>
      </c>
      <c r="E12" s="365" t="str">
        <f>IF(Quote!J17&lt;&gt;"",Quote!J17,"")</f>
        <v/>
      </c>
      <c r="F12" s="367" t="str">
        <f>IF(Quote!C17&lt;&gt;"",Quote!C17,"")</f>
        <v/>
      </c>
      <c r="G12" s="471"/>
      <c r="H12" s="471"/>
      <c r="I12" s="471"/>
      <c r="J12" s="471"/>
      <c r="K12" s="471"/>
      <c r="L12" s="471"/>
      <c r="M12" s="472"/>
      <c r="N12" s="333"/>
      <c r="O12" s="368" t="str">
        <f t="array" ref="O12">IFERROR(SMALL(IF(#REF!&lt;&gt;"",#REF!,""),ROW()-9),"")</f>
        <v/>
      </c>
      <c r="P12" s="333"/>
      <c r="Q12" s="333"/>
    </row>
    <row r="13" spans="1:17" x14ac:dyDescent="0.3">
      <c r="A13" s="382"/>
      <c r="B13" s="360" t="str">
        <f>IF(Quote!D18&lt;&gt;"",Quote!D18,"")</f>
        <v/>
      </c>
      <c r="C13" s="359" t="str">
        <f>IF(Quote!H18&lt;&gt;"",Quote!H18,"")</f>
        <v/>
      </c>
      <c r="D13" s="365" t="str">
        <f>IF(Quote!K18&lt;&gt;"",Quote!K18,"")</f>
        <v/>
      </c>
      <c r="E13" s="365" t="str">
        <f>IF(Quote!J18&lt;&gt;"",Quote!J18,"")</f>
        <v/>
      </c>
      <c r="F13" s="367" t="str">
        <f>IF(Quote!C18&lt;&gt;"",Quote!C18,"")</f>
        <v/>
      </c>
      <c r="G13" s="471"/>
      <c r="H13" s="471"/>
      <c r="I13" s="471"/>
      <c r="J13" s="471"/>
      <c r="K13" s="471"/>
      <c r="L13" s="471"/>
      <c r="M13" s="472"/>
      <c r="N13" s="333"/>
      <c r="O13" s="368" t="str">
        <f t="array" ref="O13">IFERROR(SMALL(IF(#REF!&lt;&gt;"",#REF!,""),ROW()-9),"")</f>
        <v/>
      </c>
      <c r="P13" s="333"/>
      <c r="Q13" s="333"/>
    </row>
    <row r="14" spans="1:17" x14ac:dyDescent="0.3">
      <c r="A14" s="382"/>
      <c r="B14" s="360" t="str">
        <f>IF(Quote!D19&lt;&gt;"",Quote!D19,"")</f>
        <v/>
      </c>
      <c r="C14" s="359" t="str">
        <f>IF(Quote!H19&lt;&gt;"",Quote!H19,"")</f>
        <v/>
      </c>
      <c r="D14" s="365" t="str">
        <f>IF(Quote!K19&lt;&gt;"",Quote!K19,"")</f>
        <v/>
      </c>
      <c r="E14" s="365" t="str">
        <f>IF(Quote!J19&lt;&gt;"",Quote!J19,"")</f>
        <v/>
      </c>
      <c r="F14" s="367" t="str">
        <f>IF(Quote!C19&lt;&gt;"",Quote!C19,"")</f>
        <v/>
      </c>
      <c r="G14" s="471"/>
      <c r="H14" s="471"/>
      <c r="I14" s="471"/>
      <c r="J14" s="471"/>
      <c r="K14" s="471"/>
      <c r="L14" s="471"/>
      <c r="M14" s="472"/>
      <c r="N14" s="333"/>
      <c r="O14" s="368" t="str">
        <f t="array" ref="O14">IFERROR(SMALL(IF(#REF!&lt;&gt;"",#REF!,""),ROW()-9),"")</f>
        <v/>
      </c>
      <c r="P14" s="333"/>
      <c r="Q14" s="333"/>
    </row>
    <row r="15" spans="1:17" x14ac:dyDescent="0.3">
      <c r="A15" s="382"/>
      <c r="B15" s="360" t="str">
        <f>IF(Quote!D20&lt;&gt;"",Quote!D20,"")</f>
        <v/>
      </c>
      <c r="C15" s="359" t="str">
        <f>IF(Quote!H20&lt;&gt;"",Quote!H20,"")</f>
        <v/>
      </c>
      <c r="D15" s="365" t="str">
        <f>IF(Quote!K20&lt;&gt;"",Quote!K20,"")</f>
        <v/>
      </c>
      <c r="E15" s="365" t="str">
        <f>IF(Quote!J20&lt;&gt;"",Quote!J20,"")</f>
        <v/>
      </c>
      <c r="F15" s="367" t="str">
        <f>IF(Quote!C20&lt;&gt;"",Quote!C20,"")</f>
        <v/>
      </c>
      <c r="G15" s="471"/>
      <c r="H15" s="471"/>
      <c r="I15" s="471"/>
      <c r="J15" s="471"/>
      <c r="K15" s="471"/>
      <c r="L15" s="471"/>
      <c r="M15" s="472"/>
      <c r="N15" s="333"/>
      <c r="O15" s="368" t="str">
        <f t="array" ref="O15">IFERROR(SMALL(IF(#REF!&lt;&gt;"",#REF!,""),ROW()-9),"")</f>
        <v/>
      </c>
      <c r="P15" s="333"/>
      <c r="Q15" s="333"/>
    </row>
    <row r="16" spans="1:17" x14ac:dyDescent="0.3">
      <c r="A16" s="382"/>
      <c r="B16" s="360" t="str">
        <f>IF(Quote!D21&lt;&gt;"",Quote!D21,"")</f>
        <v/>
      </c>
      <c r="C16" s="359" t="str">
        <f>IF(Quote!H21&lt;&gt;"",Quote!H21,"")</f>
        <v/>
      </c>
      <c r="D16" s="365" t="str">
        <f>IF(Quote!K21&lt;&gt;"",Quote!K21,"")</f>
        <v/>
      </c>
      <c r="E16" s="365" t="str">
        <f>IF(Quote!J21&lt;&gt;"",Quote!J21,"")</f>
        <v/>
      </c>
      <c r="F16" s="367" t="str">
        <f>IF(Quote!C21&lt;&gt;"",Quote!C21,"")</f>
        <v/>
      </c>
      <c r="G16" s="471"/>
      <c r="H16" s="471"/>
      <c r="I16" s="471"/>
      <c r="J16" s="471"/>
      <c r="K16" s="471"/>
      <c r="L16" s="471"/>
      <c r="M16" s="472"/>
      <c r="N16" s="333"/>
      <c r="O16" s="368" t="str">
        <f t="array" ref="O16">IFERROR(SMALL(IF(#REF!&lt;&gt;"",#REF!,""),ROW()-9),"")</f>
        <v/>
      </c>
      <c r="P16" s="333"/>
      <c r="Q16" s="333"/>
    </row>
    <row r="17" spans="1:17" x14ac:dyDescent="0.3">
      <c r="A17" s="382"/>
      <c r="B17" s="360" t="str">
        <f>IF(Quote!D22&lt;&gt;"",Quote!D22,"")</f>
        <v/>
      </c>
      <c r="C17" s="359" t="str">
        <f>IF(Quote!H22&lt;&gt;"",Quote!H22,"")</f>
        <v/>
      </c>
      <c r="D17" s="365" t="str">
        <f>IF(Quote!K22&lt;&gt;"",Quote!K22,"")</f>
        <v/>
      </c>
      <c r="E17" s="365" t="str">
        <f>IF(Quote!J22&lt;&gt;"",Quote!J22,"")</f>
        <v/>
      </c>
      <c r="F17" s="367" t="str">
        <f>IF(Quote!C22&lt;&gt;"",Quote!C22,"")</f>
        <v/>
      </c>
      <c r="G17" s="471"/>
      <c r="H17" s="471"/>
      <c r="I17" s="471"/>
      <c r="J17" s="471"/>
      <c r="K17" s="471"/>
      <c r="L17" s="471"/>
      <c r="M17" s="472"/>
      <c r="N17" s="333"/>
      <c r="O17" s="368" t="str">
        <f t="array" ref="O17">IFERROR(SMALL(IF(#REF!&lt;&gt;"",#REF!,""),ROW()-9),"")</f>
        <v/>
      </c>
      <c r="P17" s="333"/>
      <c r="Q17" s="333"/>
    </row>
    <row r="18" spans="1:17" x14ac:dyDescent="0.3">
      <c r="A18" s="382"/>
      <c r="B18" s="360" t="str">
        <f>IF(Quote!D23&lt;&gt;"",Quote!D23,"")</f>
        <v/>
      </c>
      <c r="C18" s="359" t="str">
        <f>IF(Quote!H23&lt;&gt;"",Quote!H23,"")</f>
        <v/>
      </c>
      <c r="D18" s="365" t="str">
        <f>IF(Quote!K23&lt;&gt;"",Quote!K23,"")</f>
        <v/>
      </c>
      <c r="E18" s="365" t="str">
        <f>IF(Quote!J23&lt;&gt;"",Quote!J23,"")</f>
        <v/>
      </c>
      <c r="F18" s="367" t="str">
        <f>IF(Quote!C23&lt;&gt;"",Quote!C23,"")</f>
        <v/>
      </c>
      <c r="G18" s="471"/>
      <c r="H18" s="471"/>
      <c r="I18" s="471"/>
      <c r="J18" s="471"/>
      <c r="K18" s="471"/>
      <c r="L18" s="471"/>
      <c r="M18" s="472"/>
      <c r="N18" s="333"/>
      <c r="O18" s="368" t="str">
        <f t="array" ref="O18">IFERROR(SMALL(IF(#REF!&lt;&gt;"",#REF!,""),ROW()-9),"")</f>
        <v/>
      </c>
      <c r="P18" s="333"/>
      <c r="Q18" s="333"/>
    </row>
    <row r="19" spans="1:17" x14ac:dyDescent="0.3">
      <c r="A19" s="382"/>
      <c r="B19" s="360" t="str">
        <f>IF(Quote!D24&lt;&gt;"",Quote!D24,"")</f>
        <v/>
      </c>
      <c r="C19" s="359" t="str">
        <f>IF(Quote!H24&lt;&gt;"",Quote!H24,"")</f>
        <v/>
      </c>
      <c r="D19" s="365" t="str">
        <f>IF(Quote!K24&lt;&gt;"",Quote!K24,"")</f>
        <v/>
      </c>
      <c r="E19" s="365" t="str">
        <f>IF(Quote!J24&lt;&gt;"",Quote!J24,"")</f>
        <v/>
      </c>
      <c r="F19" s="367" t="str">
        <f>IF(Quote!C24&lt;&gt;"",Quote!C24,"")</f>
        <v/>
      </c>
      <c r="G19" s="471"/>
      <c r="H19" s="471"/>
      <c r="I19" s="471"/>
      <c r="J19" s="471"/>
      <c r="K19" s="471"/>
      <c r="L19" s="471"/>
      <c r="M19" s="472"/>
      <c r="N19" s="333"/>
      <c r="O19" s="368" t="str">
        <f t="array" ref="O19">IFERROR(SMALL(IF(#REF!&lt;&gt;"",#REF!,""),ROW()-9),"")</f>
        <v/>
      </c>
      <c r="P19" s="333"/>
      <c r="Q19" s="333"/>
    </row>
    <row r="20" spans="1:17" x14ac:dyDescent="0.3">
      <c r="A20" s="382"/>
      <c r="B20" s="360" t="str">
        <f>IF(Quote!D25&lt;&gt;"",Quote!D25,"")</f>
        <v/>
      </c>
      <c r="C20" s="359" t="str">
        <f>IF(Quote!H25&lt;&gt;"",Quote!H25,"")</f>
        <v/>
      </c>
      <c r="D20" s="365" t="str">
        <f>IF(Quote!K25&lt;&gt;"",Quote!K25,"")</f>
        <v/>
      </c>
      <c r="E20" s="365" t="str">
        <f>IF(Quote!J25&lt;&gt;"",Quote!J25,"")</f>
        <v/>
      </c>
      <c r="F20" s="367" t="str">
        <f>IF(Quote!C25&lt;&gt;"",Quote!C25,"")</f>
        <v/>
      </c>
      <c r="G20" s="471"/>
      <c r="H20" s="471"/>
      <c r="I20" s="471"/>
      <c r="J20" s="471"/>
      <c r="K20" s="471"/>
      <c r="L20" s="471"/>
      <c r="M20" s="472"/>
      <c r="N20" s="333"/>
      <c r="O20" s="368" t="str">
        <f t="array" ref="O20">IFERROR(SMALL(IF(#REF!&lt;&gt;"",#REF!,""),ROW()-9),"")</f>
        <v/>
      </c>
      <c r="P20" s="333"/>
      <c r="Q20" s="333"/>
    </row>
    <row r="21" spans="1:17" x14ac:dyDescent="0.3">
      <c r="A21" s="382"/>
      <c r="B21" s="360" t="str">
        <f>IF(Quote!D26&lt;&gt;"",Quote!D26,"")</f>
        <v/>
      </c>
      <c r="C21" s="359" t="str">
        <f>IF(Quote!H26&lt;&gt;"",Quote!H26,"")</f>
        <v/>
      </c>
      <c r="D21" s="365" t="str">
        <f>IF(Quote!K26&lt;&gt;"",Quote!K26,"")</f>
        <v/>
      </c>
      <c r="E21" s="365" t="str">
        <f>IF(Quote!J26&lt;&gt;"",Quote!J26,"")</f>
        <v/>
      </c>
      <c r="F21" s="367" t="str">
        <f>IF(Quote!C26&lt;&gt;"",Quote!C26,"")</f>
        <v/>
      </c>
      <c r="G21" s="471"/>
      <c r="H21" s="471"/>
      <c r="I21" s="471"/>
      <c r="J21" s="471"/>
      <c r="K21" s="471"/>
      <c r="L21" s="471"/>
      <c r="M21" s="472"/>
      <c r="N21" s="333"/>
      <c r="O21" s="368" t="str">
        <f t="array" ref="O21">IFERROR(SMALL(IF(#REF!&lt;&gt;"",#REF!,""),ROW()-9),"")</f>
        <v/>
      </c>
      <c r="P21" s="333"/>
      <c r="Q21" s="333"/>
    </row>
    <row r="22" spans="1:17" x14ac:dyDescent="0.3">
      <c r="A22" s="382"/>
      <c r="B22" s="360" t="str">
        <f>IF(Quote!D27&lt;&gt;"",Quote!D27,"")</f>
        <v/>
      </c>
      <c r="C22" s="359" t="str">
        <f>IF(Quote!H27&lt;&gt;"",Quote!H27,"")</f>
        <v/>
      </c>
      <c r="D22" s="365" t="str">
        <f>IF(Quote!K27&lt;&gt;"",Quote!K27,"")</f>
        <v/>
      </c>
      <c r="E22" s="365" t="str">
        <f>IF(Quote!J27&lt;&gt;"",Quote!J27,"")</f>
        <v/>
      </c>
      <c r="F22" s="367" t="str">
        <f>IF(Quote!C27&lt;&gt;"",Quote!C27,"")</f>
        <v/>
      </c>
      <c r="G22" s="471"/>
      <c r="H22" s="471"/>
      <c r="I22" s="471"/>
      <c r="J22" s="471"/>
      <c r="K22" s="471"/>
      <c r="L22" s="471"/>
      <c r="M22" s="472"/>
      <c r="N22" s="333"/>
      <c r="O22" s="368" t="str">
        <f t="array" ref="O22">IFERROR(SMALL(IF(#REF!&lt;&gt;"",#REF!,""),ROW()-9),"")</f>
        <v/>
      </c>
      <c r="P22" s="333"/>
      <c r="Q22" s="333"/>
    </row>
    <row r="23" spans="1:17" x14ac:dyDescent="0.3">
      <c r="A23" s="382"/>
      <c r="B23" s="360" t="str">
        <f>IF(Quote!D28&lt;&gt;"",Quote!D28,"")</f>
        <v/>
      </c>
      <c r="C23" s="359" t="str">
        <f>IF(Quote!H28&lt;&gt;"",Quote!H28,"")</f>
        <v/>
      </c>
      <c r="D23" s="365" t="str">
        <f>IF(Quote!K28&lt;&gt;"",Quote!K28,"")</f>
        <v/>
      </c>
      <c r="E23" s="365" t="str">
        <f>IF(Quote!J28&lt;&gt;"",Quote!J28,"")</f>
        <v/>
      </c>
      <c r="F23" s="367" t="str">
        <f>IF(Quote!C28&lt;&gt;"",Quote!C28,"")</f>
        <v/>
      </c>
      <c r="G23" s="471"/>
      <c r="H23" s="471"/>
      <c r="I23" s="471"/>
      <c r="J23" s="471"/>
      <c r="K23" s="471"/>
      <c r="L23" s="471"/>
      <c r="M23" s="472"/>
      <c r="N23" s="333"/>
      <c r="O23" s="368" t="str">
        <f t="array" ref="O23">IFERROR(SMALL(IF(#REF!&lt;&gt;"",#REF!,""),ROW()-9),"")</f>
        <v/>
      </c>
      <c r="P23" s="333"/>
      <c r="Q23" s="333"/>
    </row>
    <row r="24" spans="1:17" x14ac:dyDescent="0.3">
      <c r="A24" s="382"/>
      <c r="B24" s="360" t="str">
        <f>IF(Quote!D29&lt;&gt;"",Quote!D29,"")</f>
        <v/>
      </c>
      <c r="C24" s="359" t="str">
        <f>IF(Quote!H29&lt;&gt;"",Quote!H29,"")</f>
        <v/>
      </c>
      <c r="D24" s="365" t="str">
        <f>IF(Quote!K29&lt;&gt;"",Quote!K29,"")</f>
        <v/>
      </c>
      <c r="E24" s="365" t="str">
        <f>IF(Quote!J29&lt;&gt;"",Quote!J29,"")</f>
        <v/>
      </c>
      <c r="F24" s="367" t="str">
        <f>IF(Quote!C29&lt;&gt;"",Quote!C29,"")</f>
        <v/>
      </c>
      <c r="G24" s="471"/>
      <c r="H24" s="471"/>
      <c r="I24" s="471"/>
      <c r="J24" s="471"/>
      <c r="K24" s="471"/>
      <c r="L24" s="471"/>
      <c r="M24" s="472"/>
      <c r="N24" s="333"/>
      <c r="O24" s="368" t="str">
        <f t="array" ref="O24">IFERROR(SMALL(IF(#REF!&lt;&gt;"",#REF!,""),ROW()-9),"")</f>
        <v/>
      </c>
      <c r="P24" s="333"/>
      <c r="Q24" s="333"/>
    </row>
    <row r="25" spans="1:17" x14ac:dyDescent="0.3">
      <c r="A25" s="382"/>
      <c r="B25" s="360" t="str">
        <f>IF(Quote!D30&lt;&gt;"",Quote!D30,"")</f>
        <v/>
      </c>
      <c r="C25" s="359" t="str">
        <f>IF(Quote!H30&lt;&gt;"",Quote!H30,"")</f>
        <v/>
      </c>
      <c r="D25" s="365" t="str">
        <f>IF(Quote!K30&lt;&gt;"",Quote!K30,"")</f>
        <v/>
      </c>
      <c r="E25" s="365" t="str">
        <f>IF(Quote!J30&lt;&gt;"",Quote!J30,"")</f>
        <v/>
      </c>
      <c r="F25" s="367" t="str">
        <f>IF(Quote!C30&lt;&gt;"",Quote!C30,"")</f>
        <v/>
      </c>
      <c r="G25" s="471"/>
      <c r="H25" s="471"/>
      <c r="I25" s="471"/>
      <c r="J25" s="471"/>
      <c r="K25" s="471"/>
      <c r="L25" s="471"/>
      <c r="M25" s="472"/>
      <c r="N25" s="333"/>
      <c r="O25" s="368" t="str">
        <f t="array" ref="O25">IFERROR(SMALL(IF(#REF!&lt;&gt;"",#REF!,""),ROW()-9),"")</f>
        <v/>
      </c>
      <c r="P25" s="333"/>
      <c r="Q25" s="333"/>
    </row>
    <row r="26" spans="1:17" x14ac:dyDescent="0.3">
      <c r="A26" s="382"/>
      <c r="B26" s="360" t="str">
        <f>IF(Quote!D31&lt;&gt;"",Quote!D31,"")</f>
        <v/>
      </c>
      <c r="C26" s="359" t="str">
        <f>IF(Quote!H31&lt;&gt;"",Quote!H31,"")</f>
        <v/>
      </c>
      <c r="D26" s="365" t="str">
        <f>IF(Quote!K31&lt;&gt;"",Quote!K31,"")</f>
        <v/>
      </c>
      <c r="E26" s="365" t="str">
        <f>IF(Quote!J31&lt;&gt;"",Quote!J31,"")</f>
        <v/>
      </c>
      <c r="F26" s="367" t="str">
        <f>IF(Quote!C31&lt;&gt;"",Quote!C31,"")</f>
        <v/>
      </c>
      <c r="G26" s="471"/>
      <c r="H26" s="471"/>
      <c r="I26" s="471"/>
      <c r="J26" s="471"/>
      <c r="K26" s="471"/>
      <c r="L26" s="471"/>
      <c r="M26" s="472"/>
      <c r="N26" s="333"/>
      <c r="O26" s="368" t="str">
        <f t="array" ref="O26">IFERROR(SMALL(IF(#REF!&lt;&gt;"",#REF!,""),ROW()-9),"")</f>
        <v/>
      </c>
      <c r="P26" s="333"/>
      <c r="Q26" s="333"/>
    </row>
    <row r="27" spans="1:17" x14ac:dyDescent="0.3">
      <c r="A27" s="382"/>
      <c r="B27" s="360" t="str">
        <f>IF(Quote!D32&lt;&gt;"",Quote!D32,"")</f>
        <v/>
      </c>
      <c r="C27" s="359" t="str">
        <f>IF(Quote!H32&lt;&gt;"",Quote!H32,"")</f>
        <v/>
      </c>
      <c r="D27" s="365" t="str">
        <f>IF(Quote!K32&lt;&gt;"",Quote!K32,"")</f>
        <v/>
      </c>
      <c r="E27" s="365" t="str">
        <f>IF(Quote!J32&lt;&gt;"",Quote!J32,"")</f>
        <v/>
      </c>
      <c r="F27" s="367" t="str">
        <f>IF(Quote!C32&lt;&gt;"",Quote!C32,"")</f>
        <v/>
      </c>
      <c r="G27" s="471"/>
      <c r="H27" s="471"/>
      <c r="I27" s="471"/>
      <c r="J27" s="471"/>
      <c r="K27" s="471"/>
      <c r="L27" s="471"/>
      <c r="M27" s="472"/>
      <c r="N27" s="333"/>
      <c r="O27" s="368" t="str">
        <f t="array" ref="O27">IFERROR(SMALL(IF(#REF!&lt;&gt;"",#REF!,""),ROW()-9),"")</f>
        <v/>
      </c>
      <c r="P27" s="333"/>
      <c r="Q27" s="333"/>
    </row>
    <row r="28" spans="1:17" x14ac:dyDescent="0.3">
      <c r="A28" s="382"/>
      <c r="B28" s="360" t="str">
        <f>IF(Quote!D33&lt;&gt;"",Quote!D33,"")</f>
        <v/>
      </c>
      <c r="C28" s="359" t="str">
        <f>IF(Quote!H33&lt;&gt;"",Quote!H33,"")</f>
        <v/>
      </c>
      <c r="D28" s="365" t="str">
        <f>IF(Quote!K33&lt;&gt;"",Quote!K33,"")</f>
        <v/>
      </c>
      <c r="E28" s="365" t="str">
        <f>IF(Quote!J33&lt;&gt;"",Quote!J33,"")</f>
        <v/>
      </c>
      <c r="F28" s="367" t="str">
        <f>IF(Quote!C33&lt;&gt;"",Quote!C33,"")</f>
        <v/>
      </c>
      <c r="G28" s="471"/>
      <c r="H28" s="471"/>
      <c r="I28" s="471"/>
      <c r="J28" s="471"/>
      <c r="K28" s="471"/>
      <c r="L28" s="471"/>
      <c r="M28" s="472"/>
      <c r="N28" s="333"/>
      <c r="O28" s="368" t="str">
        <f t="array" ref="O28">IFERROR(SMALL(IF(#REF!&lt;&gt;"",#REF!,""),ROW()-9),"")</f>
        <v/>
      </c>
      <c r="P28" s="333"/>
      <c r="Q28" s="333"/>
    </row>
    <row r="29" spans="1:17" x14ac:dyDescent="0.3">
      <c r="A29" s="382"/>
      <c r="B29" s="360" t="str">
        <f>IF(Quote!D34&lt;&gt;"",Quote!D34,"")</f>
        <v/>
      </c>
      <c r="C29" s="359" t="str">
        <f>IF(Quote!H34&lt;&gt;"",Quote!H34,"")</f>
        <v/>
      </c>
      <c r="D29" s="365" t="str">
        <f>IF(Quote!K34&lt;&gt;"",Quote!K34,"")</f>
        <v/>
      </c>
      <c r="E29" s="365" t="str">
        <f>IF(Quote!J34&lt;&gt;"",Quote!J34,"")</f>
        <v/>
      </c>
      <c r="F29" s="367" t="str">
        <f>IF(Quote!C34&lt;&gt;"",Quote!C34,"")</f>
        <v/>
      </c>
      <c r="G29" s="471"/>
      <c r="H29" s="471"/>
      <c r="I29" s="471"/>
      <c r="J29" s="471"/>
      <c r="K29" s="471"/>
      <c r="L29" s="471"/>
      <c r="M29" s="472"/>
      <c r="N29" s="333"/>
      <c r="O29" s="368" t="str">
        <f t="array" ref="O29">IFERROR(SMALL(IF(#REF!&lt;&gt;"",#REF!,""),ROW()-9),"")</f>
        <v/>
      </c>
      <c r="P29" s="333"/>
      <c r="Q29" s="333"/>
    </row>
    <row r="30" spans="1:17" x14ac:dyDescent="0.3">
      <c r="A30" s="382"/>
      <c r="B30" s="360" t="str">
        <f>IF(Quote!D35&lt;&gt;"",Quote!D35,"")</f>
        <v/>
      </c>
      <c r="C30" s="359" t="str">
        <f>IF(Quote!H35&lt;&gt;"",Quote!H35,"")</f>
        <v/>
      </c>
      <c r="D30" s="365" t="str">
        <f>IF(Quote!K35&lt;&gt;"",Quote!K35,"")</f>
        <v/>
      </c>
      <c r="E30" s="365" t="str">
        <f>IF(Quote!J35&lt;&gt;"",Quote!J35,"")</f>
        <v/>
      </c>
      <c r="F30" s="367" t="str">
        <f>IF(Quote!C35&lt;&gt;"",Quote!C35,"")</f>
        <v/>
      </c>
      <c r="G30" s="471"/>
      <c r="H30" s="471"/>
      <c r="I30" s="471"/>
      <c r="J30" s="471"/>
      <c r="K30" s="471"/>
      <c r="L30" s="471"/>
      <c r="M30" s="472"/>
      <c r="N30" s="333"/>
      <c r="O30" s="368" t="str">
        <f t="array" ref="O30">IFERROR(SMALL(IF(#REF!&lt;&gt;"",#REF!,""),ROW()-9),"")</f>
        <v/>
      </c>
      <c r="P30" s="333"/>
      <c r="Q30" s="333"/>
    </row>
    <row r="31" spans="1:17" x14ac:dyDescent="0.3">
      <c r="A31" s="382"/>
      <c r="B31" s="360" t="str">
        <f>IF(Quote!D36&lt;&gt;"",Quote!D36,"")</f>
        <v/>
      </c>
      <c r="C31" s="359" t="str">
        <f>IF(Quote!H36&lt;&gt;"",Quote!H36,"")</f>
        <v/>
      </c>
      <c r="D31" s="365" t="str">
        <f>IF(Quote!K36&lt;&gt;"",Quote!K36,"")</f>
        <v/>
      </c>
      <c r="E31" s="365" t="str">
        <f>IF(Quote!J36&lt;&gt;"",Quote!J36,"")</f>
        <v/>
      </c>
      <c r="F31" s="367" t="str">
        <f>IF(Quote!C36&lt;&gt;"",Quote!C36,"")</f>
        <v/>
      </c>
      <c r="G31" s="471"/>
      <c r="H31" s="471"/>
      <c r="I31" s="471"/>
      <c r="J31" s="471"/>
      <c r="K31" s="471"/>
      <c r="L31" s="471"/>
      <c r="M31" s="472"/>
      <c r="N31" s="333"/>
      <c r="O31" s="368" t="str">
        <f t="array" ref="O31">IFERROR(SMALL(IF(#REF!&lt;&gt;"",#REF!,""),ROW()-9),"")</f>
        <v/>
      </c>
      <c r="P31" s="333"/>
      <c r="Q31" s="333"/>
    </row>
    <row r="32" spans="1:17" x14ac:dyDescent="0.3">
      <c r="A32" s="382"/>
      <c r="B32" s="360" t="str">
        <f>IF(Quote!D37&lt;&gt;"",Quote!D37,"")</f>
        <v/>
      </c>
      <c r="C32" s="359" t="str">
        <f>IF(Quote!H37&lt;&gt;"",Quote!H37,"")</f>
        <v/>
      </c>
      <c r="D32" s="365" t="str">
        <f>IF(Quote!K37&lt;&gt;"",Quote!K37,"")</f>
        <v/>
      </c>
      <c r="E32" s="365" t="str">
        <f>IF(Quote!J37&lt;&gt;"",Quote!J37,"")</f>
        <v/>
      </c>
      <c r="F32" s="367" t="str">
        <f>IF(Quote!C37&lt;&gt;"",Quote!C37,"")</f>
        <v/>
      </c>
      <c r="G32" s="471"/>
      <c r="H32" s="471"/>
      <c r="I32" s="471"/>
      <c r="J32" s="471"/>
      <c r="K32" s="471"/>
      <c r="L32" s="471"/>
      <c r="M32" s="472"/>
      <c r="N32" s="333"/>
      <c r="O32" s="368" t="str">
        <f t="array" ref="O32">IFERROR(SMALL(IF(#REF!&lt;&gt;"",#REF!,""),ROW()-9),"")</f>
        <v/>
      </c>
      <c r="P32" s="333"/>
      <c r="Q32" s="333"/>
    </row>
    <row r="33" spans="1:17" x14ac:dyDescent="0.3">
      <c r="A33" s="382"/>
      <c r="B33" s="360" t="str">
        <f>IF(Quote!D38&lt;&gt;"",Quote!D38,"")</f>
        <v/>
      </c>
      <c r="C33" s="359" t="str">
        <f>IF(Quote!H38&lt;&gt;"",Quote!H38,"")</f>
        <v/>
      </c>
      <c r="D33" s="365" t="str">
        <f>IF(Quote!K38&lt;&gt;"",Quote!K38,"")</f>
        <v/>
      </c>
      <c r="E33" s="365" t="str">
        <f>IF(Quote!J38&lt;&gt;"",Quote!J38,"")</f>
        <v/>
      </c>
      <c r="F33" s="367" t="str">
        <f>IF(Quote!C38&lt;&gt;"",Quote!C38,"")</f>
        <v/>
      </c>
      <c r="G33" s="471"/>
      <c r="H33" s="471"/>
      <c r="I33" s="471"/>
      <c r="J33" s="471"/>
      <c r="K33" s="471"/>
      <c r="L33" s="471"/>
      <c r="M33" s="472"/>
      <c r="N33" s="333"/>
      <c r="O33" s="368" t="str">
        <f t="array" ref="O33">IFERROR(SMALL(IF(#REF!&lt;&gt;"",#REF!,""),ROW()-9),"")</f>
        <v/>
      </c>
      <c r="P33" s="333"/>
      <c r="Q33" s="333"/>
    </row>
    <row r="34" spans="1:17" x14ac:dyDescent="0.3">
      <c r="A34" s="382"/>
      <c r="B34" s="360" t="str">
        <f>IF(Quote!D39&lt;&gt;"",Quote!D39,"")</f>
        <v/>
      </c>
      <c r="C34" s="359" t="str">
        <f>IF(Quote!H39&lt;&gt;"",Quote!H39,"")</f>
        <v/>
      </c>
      <c r="D34" s="365" t="str">
        <f>IF(Quote!K39&lt;&gt;"",Quote!K39,"")</f>
        <v/>
      </c>
      <c r="E34" s="365" t="str">
        <f>IF(Quote!J39&lt;&gt;"",Quote!J39,"")</f>
        <v/>
      </c>
      <c r="F34" s="367" t="str">
        <f>IF(Quote!C39&lt;&gt;"",Quote!C39,"")</f>
        <v/>
      </c>
      <c r="G34" s="471"/>
      <c r="H34" s="471"/>
      <c r="I34" s="471"/>
      <c r="J34" s="471"/>
      <c r="K34" s="471"/>
      <c r="L34" s="471"/>
      <c r="M34" s="472"/>
      <c r="N34" s="333"/>
      <c r="O34" s="368" t="str">
        <f t="array" ref="O34">IFERROR(SMALL(IF(#REF!&lt;&gt;"",#REF!,""),ROW()-9),"")</f>
        <v/>
      </c>
      <c r="P34" s="333"/>
      <c r="Q34" s="333"/>
    </row>
    <row r="35" spans="1:17" x14ac:dyDescent="0.3">
      <c r="A35" s="382"/>
      <c r="B35" s="360" t="str">
        <f>IF(Quote!D40&lt;&gt;"",Quote!D40,"")</f>
        <v/>
      </c>
      <c r="C35" s="359" t="str">
        <f>IF(Quote!H40&lt;&gt;"",Quote!H40,"")</f>
        <v/>
      </c>
      <c r="D35" s="365" t="str">
        <f>IF(Quote!K40&lt;&gt;"",Quote!K40,"")</f>
        <v/>
      </c>
      <c r="E35" s="365" t="str">
        <f>IF(Quote!J40&lt;&gt;"",Quote!J40,"")</f>
        <v/>
      </c>
      <c r="F35" s="367" t="str">
        <f>IF(Quote!C40&lt;&gt;"",Quote!C40,"")</f>
        <v/>
      </c>
      <c r="G35" s="471"/>
      <c r="H35" s="471"/>
      <c r="I35" s="471"/>
      <c r="J35" s="471"/>
      <c r="K35" s="471"/>
      <c r="L35" s="471"/>
      <c r="M35" s="472"/>
      <c r="N35" s="333"/>
      <c r="O35" s="368" t="str">
        <f t="array" ref="O35">IFERROR(SMALL(IF(#REF!&lt;&gt;"",#REF!,""),ROW()-9),"")</f>
        <v/>
      </c>
      <c r="P35" s="333"/>
      <c r="Q35" s="333"/>
    </row>
    <row r="36" spans="1:17" ht="15" thickBot="1" x14ac:dyDescent="0.35">
      <c r="A36" s="382"/>
      <c r="B36" s="360" t="str">
        <f>IF(Quote!D41&lt;&gt;"",Quote!D41,"")</f>
        <v/>
      </c>
      <c r="C36" s="359" t="str">
        <f>IF(Quote!H41&lt;&gt;"",Quote!H41,"")</f>
        <v/>
      </c>
      <c r="D36" s="365" t="str">
        <f>IF(Quote!K41&lt;&gt;"",Quote!K41,"")</f>
        <v/>
      </c>
      <c r="E36" s="365" t="str">
        <f>IF(Quote!J41&lt;&gt;"",Quote!J41,"")</f>
        <v/>
      </c>
      <c r="F36" s="367" t="str">
        <f>IF(Quote!C41&lt;&gt;"",Quote!C41,"")</f>
        <v/>
      </c>
      <c r="G36" s="438" t="s">
        <v>399</v>
      </c>
      <c r="H36" s="438"/>
      <c r="I36" s="439"/>
      <c r="J36" s="439"/>
      <c r="K36" s="439"/>
      <c r="L36" s="439"/>
      <c r="M36" s="440"/>
      <c r="N36" s="333"/>
      <c r="O36" s="368"/>
      <c r="P36" s="333"/>
      <c r="Q36" s="333"/>
    </row>
    <row r="37" spans="1:17" ht="16.2" thickBot="1" x14ac:dyDescent="0.35">
      <c r="A37" s="382"/>
      <c r="B37" s="399" t="s">
        <v>45</v>
      </c>
      <c r="C37" s="400"/>
      <c r="D37" s="401"/>
      <c r="E37" s="402" t="s">
        <v>408</v>
      </c>
      <c r="F37" s="381">
        <f>SUM(F10:F36)</f>
        <v>0</v>
      </c>
      <c r="G37" s="441" t="s">
        <v>400</v>
      </c>
      <c r="H37" s="441"/>
      <c r="I37" s="442"/>
      <c r="J37" s="442"/>
      <c r="K37" s="442"/>
      <c r="L37" s="442"/>
      <c r="M37" s="443"/>
      <c r="N37" s="333"/>
      <c r="O37" s="368"/>
      <c r="P37" s="333"/>
      <c r="Q37" s="333"/>
    </row>
    <row r="38" spans="1:17" ht="15.6" x14ac:dyDescent="0.3">
      <c r="A38" s="382"/>
      <c r="B38" s="434"/>
      <c r="C38" s="435"/>
      <c r="D38" s="435"/>
      <c r="E38" s="435"/>
      <c r="F38" s="435"/>
      <c r="G38" s="441" t="s">
        <v>401</v>
      </c>
      <c r="H38" s="441"/>
      <c r="I38" s="444"/>
      <c r="J38" s="445"/>
      <c r="K38" s="445"/>
      <c r="L38" s="445"/>
      <c r="M38" s="446"/>
      <c r="N38" s="333"/>
      <c r="O38" s="368"/>
      <c r="P38" s="333"/>
      <c r="Q38" s="333"/>
    </row>
    <row r="39" spans="1:17" ht="15.6" x14ac:dyDescent="0.3">
      <c r="A39" s="382"/>
      <c r="B39" s="436"/>
      <c r="C39" s="437"/>
      <c r="D39" s="437"/>
      <c r="E39" s="437"/>
      <c r="F39" s="437"/>
      <c r="G39" s="441" t="s">
        <v>402</v>
      </c>
      <c r="H39" s="441"/>
      <c r="I39" s="442"/>
      <c r="J39" s="442"/>
      <c r="K39" s="442"/>
      <c r="L39" s="442"/>
      <c r="M39" s="443"/>
      <c r="N39" s="333"/>
      <c r="O39" s="368"/>
      <c r="P39" s="333"/>
      <c r="Q39" s="333"/>
    </row>
    <row r="40" spans="1:17" x14ac:dyDescent="0.3">
      <c r="A40" s="382"/>
      <c r="B40" s="436"/>
      <c r="C40" s="437"/>
      <c r="D40" s="437"/>
      <c r="E40" s="437"/>
      <c r="F40" s="437"/>
      <c r="G40" s="447" t="s">
        <v>403</v>
      </c>
      <c r="H40" s="447"/>
      <c r="I40" s="447"/>
      <c r="J40" s="448"/>
      <c r="K40" s="449" t="s">
        <v>404</v>
      </c>
      <c r="L40" s="447"/>
      <c r="M40" s="450"/>
      <c r="N40" s="333"/>
      <c r="O40" s="368"/>
      <c r="P40" s="333"/>
      <c r="Q40" s="333"/>
    </row>
    <row r="41" spans="1:17" x14ac:dyDescent="0.3">
      <c r="A41" s="382"/>
      <c r="B41" s="436"/>
      <c r="C41" s="437"/>
      <c r="D41" s="437"/>
      <c r="E41" s="437"/>
      <c r="F41" s="437"/>
      <c r="G41" s="422"/>
      <c r="H41" s="423"/>
      <c r="I41" s="423"/>
      <c r="J41" s="424"/>
      <c r="K41" s="431"/>
      <c r="L41" s="432"/>
      <c r="M41" s="433"/>
      <c r="N41" s="333"/>
      <c r="O41" s="368"/>
      <c r="P41" s="333"/>
      <c r="Q41" s="333"/>
    </row>
    <row r="42" spans="1:17" x14ac:dyDescent="0.3">
      <c r="A42" s="382"/>
      <c r="B42" s="436"/>
      <c r="C42" s="437"/>
      <c r="D42" s="437"/>
      <c r="E42" s="437"/>
      <c r="F42" s="437"/>
      <c r="G42" s="425"/>
      <c r="H42" s="426"/>
      <c r="I42" s="426"/>
      <c r="J42" s="427"/>
      <c r="K42" s="431"/>
      <c r="L42" s="432"/>
      <c r="M42" s="433"/>
      <c r="N42" s="333"/>
      <c r="O42" s="368"/>
      <c r="P42" s="333"/>
      <c r="Q42" s="333"/>
    </row>
    <row r="43" spans="1:17" x14ac:dyDescent="0.3">
      <c r="A43" s="382"/>
      <c r="B43" s="419" t="s">
        <v>365</v>
      </c>
      <c r="C43" s="420"/>
      <c r="D43" s="420"/>
      <c r="E43" s="420"/>
      <c r="F43" s="421"/>
      <c r="G43" s="425"/>
      <c r="H43" s="426"/>
      <c r="I43" s="426"/>
      <c r="J43" s="427"/>
      <c r="K43" s="431"/>
      <c r="L43" s="432"/>
      <c r="M43" s="433"/>
      <c r="N43" s="333"/>
      <c r="O43" s="368"/>
      <c r="P43" s="333"/>
      <c r="Q43" s="333"/>
    </row>
    <row r="44" spans="1:17" x14ac:dyDescent="0.3">
      <c r="A44" s="382"/>
      <c r="B44" s="403" t="s">
        <v>396</v>
      </c>
      <c r="C44" s="404" t="s">
        <v>405</v>
      </c>
      <c r="D44" s="404" t="s">
        <v>406</v>
      </c>
      <c r="E44" s="404" t="s">
        <v>407</v>
      </c>
      <c r="F44" s="404"/>
      <c r="G44" s="425"/>
      <c r="H44" s="426"/>
      <c r="I44" s="426"/>
      <c r="J44" s="427"/>
      <c r="K44" s="431"/>
      <c r="L44" s="432"/>
      <c r="M44" s="433"/>
      <c r="N44" s="333"/>
      <c r="O44" s="368"/>
      <c r="P44" s="333"/>
      <c r="Q44" s="333"/>
    </row>
    <row r="45" spans="1:17" x14ac:dyDescent="0.3">
      <c r="A45" s="382"/>
      <c r="B45" s="405" t="str">
        <f>IF(Quote!AC18="Y",Quote!AE18,"")</f>
        <v/>
      </c>
      <c r="C45" s="406"/>
      <c r="D45" s="407" t="str">
        <f>IF(B45&lt;&gt;"",1,"")</f>
        <v/>
      </c>
      <c r="E45" s="406"/>
      <c r="F45" s="408"/>
      <c r="G45" s="425"/>
      <c r="H45" s="426"/>
      <c r="I45" s="426"/>
      <c r="J45" s="427"/>
      <c r="K45" s="431"/>
      <c r="L45" s="432"/>
      <c r="M45" s="433"/>
      <c r="N45" s="333"/>
      <c r="O45" s="368"/>
      <c r="P45" s="333"/>
      <c r="Q45" s="333"/>
    </row>
    <row r="46" spans="1:17" x14ac:dyDescent="0.3">
      <c r="A46" s="382"/>
      <c r="B46" s="405" t="str">
        <f>IF(Quote!AC19="Y",Quote!AE19,"")</f>
        <v/>
      </c>
      <c r="C46" s="406"/>
      <c r="D46" s="407" t="str">
        <f t="shared" ref="D46:D49" si="0">IF(B46&lt;&gt;"",1,"")</f>
        <v/>
      </c>
      <c r="E46" s="406"/>
      <c r="F46" s="408"/>
      <c r="G46" s="425"/>
      <c r="H46" s="426"/>
      <c r="I46" s="426"/>
      <c r="J46" s="427"/>
      <c r="K46" s="431"/>
      <c r="L46" s="432"/>
      <c r="M46" s="433"/>
      <c r="N46" s="333"/>
      <c r="O46" s="368"/>
      <c r="P46" s="333"/>
      <c r="Q46" s="333"/>
    </row>
    <row r="47" spans="1:17" ht="15" thickBot="1" x14ac:dyDescent="0.35">
      <c r="A47" s="382"/>
      <c r="B47" s="405" t="str">
        <f>IF(Quote!AC20="Y",Quote!AE20,"")</f>
        <v>Food</v>
      </c>
      <c r="C47" s="406"/>
      <c r="D47" s="407">
        <f t="shared" si="0"/>
        <v>1</v>
      </c>
      <c r="E47" s="406"/>
      <c r="F47" s="408"/>
      <c r="G47" s="428"/>
      <c r="H47" s="429"/>
      <c r="I47" s="429"/>
      <c r="J47" s="430"/>
      <c r="K47" s="353"/>
      <c r="L47" s="354"/>
      <c r="M47" s="355"/>
      <c r="N47" s="333"/>
      <c r="O47" s="368"/>
      <c r="P47" s="333"/>
      <c r="Q47" s="333"/>
    </row>
    <row r="48" spans="1:17" x14ac:dyDescent="0.3">
      <c r="A48" s="382"/>
      <c r="B48" s="405" t="str">
        <f>IF(Quote!AC21="Y",Quote!AE21,"")</f>
        <v>UPC</v>
      </c>
      <c r="C48" s="406"/>
      <c r="D48" s="407">
        <f t="shared" si="0"/>
        <v>1</v>
      </c>
      <c r="E48" s="406"/>
      <c r="F48" s="408"/>
      <c r="G48" s="333"/>
      <c r="H48" s="333"/>
      <c r="I48" s="333"/>
      <c r="J48" s="333"/>
      <c r="K48" s="333"/>
      <c r="L48" s="333"/>
      <c r="M48" s="333"/>
      <c r="N48" s="333"/>
      <c r="O48" s="368"/>
      <c r="P48" s="333"/>
      <c r="Q48" s="333"/>
    </row>
    <row r="49" spans="1:17" x14ac:dyDescent="0.3">
      <c r="A49" s="382"/>
      <c r="B49" s="405" t="str">
        <f>IF(Quote!AC22="Y",Quote!AE22,"")</f>
        <v/>
      </c>
      <c r="C49" s="406"/>
      <c r="D49" s="407" t="str">
        <f t="shared" si="0"/>
        <v/>
      </c>
      <c r="E49" s="406"/>
      <c r="F49" s="408"/>
      <c r="G49" s="333"/>
      <c r="H49" s="333"/>
      <c r="I49" s="333"/>
      <c r="J49" s="333"/>
      <c r="K49" s="333"/>
      <c r="L49" s="333"/>
      <c r="M49" s="333"/>
      <c r="N49" s="333"/>
      <c r="O49" s="368"/>
      <c r="P49" s="333"/>
      <c r="Q49" s="333"/>
    </row>
    <row r="50" spans="1:17" x14ac:dyDescent="0.3">
      <c r="A50" s="382"/>
      <c r="B50" s="405" t="str">
        <f>IF(Quote!AC23="Y",Quote!AE23,"")</f>
        <v/>
      </c>
      <c r="C50" s="406"/>
      <c r="D50" s="407" t="str">
        <f>IF(B50&lt;&gt;"",1,"")</f>
        <v/>
      </c>
      <c r="E50" s="406"/>
      <c r="F50" s="408"/>
      <c r="G50" s="333"/>
      <c r="H50" s="333"/>
      <c r="I50" s="333"/>
      <c r="J50" s="333"/>
      <c r="K50" s="333"/>
      <c r="L50" s="333"/>
      <c r="M50" s="333"/>
      <c r="N50" s="333"/>
      <c r="O50" s="368"/>
      <c r="P50" s="333"/>
      <c r="Q50" s="333"/>
    </row>
    <row r="51" spans="1:17" x14ac:dyDescent="0.3">
      <c r="A51" s="382"/>
      <c r="B51" s="405" t="str">
        <f>IF(Quote!AC24="Y",Quote!AE24,"")</f>
        <v/>
      </c>
      <c r="C51" s="406"/>
      <c r="D51" s="407" t="str">
        <f t="shared" ref="D51:D54" si="1">IF(B51&lt;&gt;"",1,"")</f>
        <v/>
      </c>
      <c r="E51" s="406"/>
      <c r="F51" s="408"/>
      <c r="G51" s="333"/>
      <c r="H51" s="333"/>
      <c r="I51" s="333"/>
      <c r="J51" s="333"/>
      <c r="K51" s="333"/>
      <c r="L51" s="333"/>
      <c r="M51" s="333"/>
      <c r="N51" s="333"/>
      <c r="O51" s="368"/>
      <c r="P51" s="333"/>
      <c r="Q51" s="333"/>
    </row>
    <row r="52" spans="1:17" x14ac:dyDescent="0.3">
      <c r="A52" s="382"/>
      <c r="B52" s="405" t="str">
        <f>IF(Quote!AC25="Y",Quote!AE25,"")</f>
        <v>Wrap / Sleeve</v>
      </c>
      <c r="C52" s="406"/>
      <c r="D52" s="407">
        <f t="shared" si="1"/>
        <v>1</v>
      </c>
      <c r="E52" s="406"/>
      <c r="F52" s="408"/>
      <c r="G52" s="333"/>
      <c r="H52" s="333"/>
      <c r="I52" s="333"/>
      <c r="J52" s="333"/>
      <c r="K52" s="333"/>
      <c r="L52" s="333"/>
      <c r="M52" s="333"/>
      <c r="N52" s="333"/>
      <c r="O52" s="368"/>
      <c r="P52" s="333"/>
      <c r="Q52" s="333"/>
    </row>
    <row r="53" spans="1:17" x14ac:dyDescent="0.3">
      <c r="A53" s="382"/>
      <c r="B53" s="405" t="str">
        <f>IF(Quote!AC26="Y",Quote!AE26,"")</f>
        <v/>
      </c>
      <c r="C53" s="406"/>
      <c r="D53" s="407" t="str">
        <f t="shared" si="1"/>
        <v/>
      </c>
      <c r="E53" s="406"/>
      <c r="F53" s="408"/>
      <c r="G53" s="333"/>
      <c r="H53" s="333"/>
      <c r="I53" s="333"/>
      <c r="J53" s="333"/>
      <c r="K53" s="333"/>
      <c r="L53" s="333"/>
      <c r="M53" s="333"/>
      <c r="N53" s="333"/>
      <c r="O53" s="368"/>
      <c r="P53" s="333"/>
      <c r="Q53" s="333"/>
    </row>
    <row r="54" spans="1:17" x14ac:dyDescent="0.3">
      <c r="A54" s="382"/>
      <c r="B54" s="405" t="str">
        <f>IF(Quote!AC27="Y",Quote!AE27,"")</f>
        <v/>
      </c>
      <c r="C54" s="406"/>
      <c r="D54" s="407" t="str">
        <f t="shared" si="1"/>
        <v/>
      </c>
      <c r="E54" s="406"/>
      <c r="F54" s="408"/>
      <c r="G54" s="333"/>
      <c r="H54" s="333"/>
      <c r="I54" s="333"/>
      <c r="J54" s="333"/>
      <c r="K54" s="333"/>
      <c r="L54" s="333"/>
      <c r="M54" s="333"/>
      <c r="N54" s="333"/>
      <c r="O54" s="368"/>
      <c r="P54" s="333"/>
      <c r="Q54" s="333"/>
    </row>
    <row r="55" spans="1:17" x14ac:dyDescent="0.3">
      <c r="A55" s="382"/>
      <c r="B55" s="405" t="str">
        <f>IF(Quote!AC28="Y",Quote!AE28,"")</f>
        <v/>
      </c>
      <c r="C55" s="406"/>
      <c r="D55" s="407" t="str">
        <f>IF(B55&lt;&gt;"",1,"")</f>
        <v/>
      </c>
      <c r="E55" s="406"/>
      <c r="F55" s="408"/>
      <c r="G55" s="333"/>
      <c r="H55" s="333"/>
      <c r="I55" s="333"/>
      <c r="J55" s="333"/>
      <c r="K55" s="333"/>
      <c r="L55" s="333"/>
      <c r="M55" s="333"/>
      <c r="N55" s="333"/>
      <c r="O55" s="368"/>
      <c r="P55" s="333"/>
      <c r="Q55" s="333"/>
    </row>
    <row r="56" spans="1:17" x14ac:dyDescent="0.3">
      <c r="A56" s="248"/>
      <c r="B56" s="405" t="str">
        <f>IF(Quote!AC29="Y",Quote!AE29,"")</f>
        <v/>
      </c>
      <c r="C56" s="406"/>
      <c r="D56" s="407" t="str">
        <f t="shared" ref="D56:D59" si="2">IF(B56&lt;&gt;"",1,"")</f>
        <v/>
      </c>
      <c r="E56" s="406"/>
      <c r="F56" s="408"/>
    </row>
    <row r="57" spans="1:17" x14ac:dyDescent="0.3">
      <c r="A57" s="248"/>
      <c r="B57" s="405" t="str">
        <f>IF(Quote!AC30="Y",Quote!AE30,"")</f>
        <v/>
      </c>
      <c r="C57" s="406"/>
      <c r="D57" s="407" t="str">
        <f t="shared" si="2"/>
        <v/>
      </c>
      <c r="E57" s="406"/>
      <c r="F57" s="408"/>
    </row>
    <row r="58" spans="1:17" x14ac:dyDescent="0.3">
      <c r="A58" s="248"/>
      <c r="B58" s="405" t="str">
        <f>IF(Quote!AC31="Y",Quote!AE31,"")</f>
        <v/>
      </c>
      <c r="C58" s="406"/>
      <c r="D58" s="407" t="str">
        <f t="shared" si="2"/>
        <v/>
      </c>
      <c r="E58" s="406"/>
      <c r="F58" s="408"/>
    </row>
    <row r="59" spans="1:17" x14ac:dyDescent="0.3">
      <c r="A59" s="248"/>
      <c r="B59" s="405" t="str">
        <f>IF(Quote!AC32="Y",Quote!AE32,"")</f>
        <v/>
      </c>
      <c r="C59" s="406"/>
      <c r="D59" s="407" t="str">
        <f t="shared" si="2"/>
        <v/>
      </c>
      <c r="E59" s="406"/>
      <c r="F59" s="408"/>
    </row>
  </sheetData>
  <sheetProtection algorithmName="SHA-512" hashValue="TJSvIbD3Skdo5NoE0pxtt+UtuTj3FFGtk/i92kk+ECmNGqVq+3iiUGcPH9BxGB+ox91U8kS25e/ed8p3YjWuVg==" saltValue="XeTfdnvcrT7IYEoL1xsdtQ==" spinCount="100000" sheet="1" formatCells="0"/>
  <mergeCells count="35">
    <mergeCell ref="G1:H1"/>
    <mergeCell ref="I1:L1"/>
    <mergeCell ref="G2:H2"/>
    <mergeCell ref="I2:L2"/>
    <mergeCell ref="B3:D3"/>
    <mergeCell ref="E3:F3"/>
    <mergeCell ref="G3:H3"/>
    <mergeCell ref="I3:L3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E4:F4"/>
    <mergeCell ref="B43:F43"/>
    <mergeCell ref="G41:J47"/>
    <mergeCell ref="K41:M46"/>
    <mergeCell ref="B38:F42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</mergeCells>
  <pageMargins left="0.7" right="0.7" top="0.75" bottom="0.75" header="0.3" footer="0.3"/>
  <pageSetup scale="57" fitToWidth="0" orientation="landscape" verticalDpi="0" r:id="rId1"/>
  <ignoredErrors>
    <ignoredError sqref="C6 D8 O10:P35 D45:D59 B45:B59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7B33-BD92-4251-AE00-771BBECE951A}">
  <sheetPr codeName="Sheet18">
    <pageSetUpPr fitToPage="1"/>
  </sheetPr>
  <dimension ref="A1:AJ230"/>
  <sheetViews>
    <sheetView zoomScaleNormal="100" workbookViewId="0">
      <selection activeCell="L4" sqref="L4"/>
    </sheetView>
  </sheetViews>
  <sheetFormatPr defaultColWidth="8.6640625" defaultRowHeight="14.4" x14ac:dyDescent="0.3"/>
  <cols>
    <col min="1" max="1" width="9.109375" style="59"/>
    <col min="2" max="2" width="20.44140625" customWidth="1"/>
    <col min="3" max="3" width="16.44140625" customWidth="1"/>
    <col min="4" max="4" width="13.44140625" style="7" customWidth="1"/>
    <col min="5" max="5" width="23.109375" style="7" customWidth="1"/>
    <col min="6" max="6" width="14.44140625" style="7" customWidth="1"/>
    <col min="7" max="7" width="13.44140625" customWidth="1"/>
    <col min="9" max="9" width="14.44140625" customWidth="1"/>
    <col min="10" max="10" width="12.6640625" customWidth="1"/>
    <col min="12" max="12" width="10.44140625" customWidth="1"/>
    <col min="14" max="15" width="8.6640625" style="59" customWidth="1"/>
    <col min="16" max="16" width="17.44140625" style="59" bestFit="1" customWidth="1"/>
    <col min="17" max="17" width="8.44140625" style="59" customWidth="1"/>
    <col min="18" max="36" width="8.6640625" style="59" customWidth="1"/>
  </cols>
  <sheetData>
    <row r="1" spans="2:13" s="59" customFormat="1" ht="24.6" x14ac:dyDescent="0.4">
      <c r="B1" s="91" t="s">
        <v>379</v>
      </c>
      <c r="C1" s="90"/>
      <c r="D1" s="89"/>
      <c r="E1" s="89"/>
      <c r="F1" s="89"/>
      <c r="G1" s="617" t="s">
        <v>380</v>
      </c>
      <c r="H1" s="618"/>
      <c r="I1" s="477" t="s">
        <v>381</v>
      </c>
      <c r="J1" s="478"/>
      <c r="K1" s="478"/>
      <c r="L1" s="479"/>
      <c r="M1" s="88"/>
    </row>
    <row r="2" spans="2:13" s="59" customFormat="1" ht="18" thickBot="1" x14ac:dyDescent="0.35">
      <c r="B2" s="87"/>
      <c r="C2" s="81"/>
      <c r="D2" s="86"/>
      <c r="E2" s="86"/>
      <c r="F2" s="86"/>
      <c r="G2" s="619" t="s">
        <v>382</v>
      </c>
      <c r="H2" s="620"/>
      <c r="I2" s="482" t="s">
        <v>409</v>
      </c>
      <c r="J2" s="483"/>
      <c r="K2" s="483"/>
      <c r="L2" s="484"/>
      <c r="M2" s="74"/>
    </row>
    <row r="3" spans="2:13" s="59" customFormat="1" ht="15.6" x14ac:dyDescent="0.3">
      <c r="B3" s="621" t="s">
        <v>383</v>
      </c>
      <c r="C3" s="622"/>
      <c r="D3" s="623"/>
      <c r="E3" s="624"/>
      <c r="F3" s="625"/>
      <c r="G3" s="617" t="s">
        <v>384</v>
      </c>
      <c r="H3" s="618"/>
      <c r="I3" s="490" t="s">
        <v>410</v>
      </c>
      <c r="J3" s="491"/>
      <c r="K3" s="491"/>
      <c r="L3" s="492"/>
      <c r="M3" s="88"/>
    </row>
    <row r="4" spans="2:13" s="59" customFormat="1" ht="25.2" thickBot="1" x14ac:dyDescent="0.45">
      <c r="B4" s="626" t="str">
        <f>'HOUSE MADE BQT CHART'!D3</f>
        <v>PRETTY BQT</v>
      </c>
      <c r="C4" s="627"/>
      <c r="D4" s="628"/>
      <c r="E4" s="85"/>
      <c r="F4" s="84"/>
      <c r="G4" s="83"/>
      <c r="H4" s="82"/>
      <c r="I4" s="81"/>
      <c r="J4" s="81"/>
      <c r="K4" s="81"/>
      <c r="L4" s="273">
        <f ca="1">NOW()</f>
        <v>46104.111169328702</v>
      </c>
      <c r="M4" s="80"/>
    </row>
    <row r="5" spans="2:13" s="59" customFormat="1" ht="27" customHeight="1" x14ac:dyDescent="0.3">
      <c r="B5" s="79" t="s">
        <v>385</v>
      </c>
      <c r="C5" s="96" t="s">
        <v>386</v>
      </c>
      <c r="D5" s="78" t="s">
        <v>387</v>
      </c>
      <c r="E5" s="78" t="s">
        <v>388</v>
      </c>
      <c r="F5" s="77" t="s">
        <v>389</v>
      </c>
      <c r="G5" s="629" t="s">
        <v>390</v>
      </c>
      <c r="H5" s="629"/>
      <c r="I5" s="629"/>
      <c r="J5" s="629" t="s">
        <v>391</v>
      </c>
      <c r="K5" s="629"/>
      <c r="L5" s="629"/>
      <c r="M5" s="74"/>
    </row>
    <row r="6" spans="2:13" s="59" customFormat="1" ht="16.2" thickBot="1" x14ac:dyDescent="0.35">
      <c r="B6" s="76"/>
      <c r="C6" s="97" t="e">
        <f>'HOUSE MADE BQT CHART'!AD5</f>
        <v>#N/A</v>
      </c>
      <c r="D6" s="75" t="s">
        <v>392</v>
      </c>
      <c r="E6" s="75" t="s">
        <v>411</v>
      </c>
      <c r="F6" s="595"/>
      <c r="G6" s="598"/>
      <c r="H6" s="598"/>
      <c r="I6" s="598"/>
      <c r="J6" s="598" t="str">
        <f>'HOUSE MADE BQT CHART'!Y33</f>
        <v>20x12x25</v>
      </c>
      <c r="K6" s="598"/>
      <c r="L6" s="598"/>
      <c r="M6" s="74"/>
    </row>
    <row r="7" spans="2:13" s="59" customFormat="1" ht="15" thickBot="1" x14ac:dyDescent="0.35">
      <c r="B7" s="630" t="s">
        <v>393</v>
      </c>
      <c r="C7" s="631"/>
      <c r="D7" s="632" t="s">
        <v>394</v>
      </c>
      <c r="E7" s="633"/>
      <c r="F7" s="596"/>
      <c r="G7" s="634" t="s">
        <v>395</v>
      </c>
      <c r="H7" s="634"/>
      <c r="I7" s="634"/>
      <c r="J7" s="634"/>
      <c r="K7" s="634"/>
      <c r="L7" s="634"/>
      <c r="M7" s="635"/>
    </row>
    <row r="8" spans="2:13" s="59" customFormat="1" ht="15" thickBot="1" x14ac:dyDescent="0.35">
      <c r="B8" s="605"/>
      <c r="C8" s="606"/>
      <c r="D8" s="607" t="str">
        <f>'HOUSE MADE BQT CHART'!Y31</f>
        <v>WET WALMART DOUBLE</v>
      </c>
      <c r="E8" s="608"/>
      <c r="F8" s="597"/>
      <c r="G8" s="609"/>
      <c r="H8" s="609"/>
      <c r="I8" s="609"/>
      <c r="J8" s="609"/>
      <c r="K8" s="609"/>
      <c r="L8" s="609"/>
      <c r="M8" s="610"/>
    </row>
    <row r="9" spans="2:13" s="59" customFormat="1" ht="15" thickBot="1" x14ac:dyDescent="0.35">
      <c r="B9" s="92" t="s">
        <v>396</v>
      </c>
      <c r="C9" s="93" t="s">
        <v>43</v>
      </c>
      <c r="D9" s="93" t="s">
        <v>46</v>
      </c>
      <c r="E9" s="94" t="s">
        <v>412</v>
      </c>
      <c r="F9" s="95" t="s">
        <v>40</v>
      </c>
      <c r="G9" s="426"/>
      <c r="H9" s="426"/>
      <c r="I9" s="426"/>
      <c r="J9" s="426"/>
      <c r="K9" s="426"/>
      <c r="L9" s="426"/>
      <c r="M9" s="611"/>
    </row>
    <row r="10" spans="2:13" s="59" customFormat="1" x14ac:dyDescent="0.3">
      <c r="B10" s="101" t="str">
        <f>IF('HOUSE MADE BQT CHART'!C11&lt;&gt;"",'HOUSE MADE BQT CHART'!C11,"")</f>
        <v>ROSES</v>
      </c>
      <c r="C10" s="37" t="str">
        <f>IF('HOUSE MADE BQT CHART'!C11&lt;&gt;"",'HOUSE MADE BQT CHART'!H11,"")</f>
        <v>RED</v>
      </c>
      <c r="D10" s="37"/>
      <c r="E10" s="37"/>
      <c r="F10" s="102">
        <f>IF('HOUSE MADE BQT CHART'!C11&lt;&gt;"",'HOUSE MADE BQT CHART'!B11,"")</f>
        <v>6</v>
      </c>
      <c r="G10" s="426"/>
      <c r="H10" s="426"/>
      <c r="I10" s="426"/>
      <c r="J10" s="426"/>
      <c r="K10" s="426"/>
      <c r="L10" s="426"/>
      <c r="M10" s="611"/>
    </row>
    <row r="11" spans="2:13" s="59" customFormat="1" x14ac:dyDescent="0.3">
      <c r="B11" s="73" t="str">
        <f>IF('HOUSE MADE BQT CHART'!C12&lt;&gt;"",'HOUSE MADE BQT CHART'!C12,"")</f>
        <v>ROSES</v>
      </c>
      <c r="C11" s="19" t="str">
        <f>IF('HOUSE MADE BQT CHART'!C12&lt;&gt;"",'HOUSE MADE BQT CHART'!H12,"")</f>
        <v>LIGHT PINK</v>
      </c>
      <c r="D11" s="19"/>
      <c r="E11" s="19"/>
      <c r="F11" s="98">
        <f>IF('HOUSE MADE BQT CHART'!C12&lt;&gt;"",'HOUSE MADE BQT CHART'!B12,"")</f>
        <v>6</v>
      </c>
      <c r="G11" s="426"/>
      <c r="H11" s="426"/>
      <c r="I11" s="426"/>
      <c r="J11" s="426"/>
      <c r="K11" s="426"/>
      <c r="L11" s="426"/>
      <c r="M11" s="611"/>
    </row>
    <row r="12" spans="2:13" s="59" customFormat="1" x14ac:dyDescent="0.3">
      <c r="B12" s="73" t="str">
        <f>IF('HOUSE MADE BQT CHART'!C13&lt;&gt;"",'HOUSE MADE BQT CHART'!C13,"")</f>
        <v/>
      </c>
      <c r="C12" s="19" t="str">
        <f>IF('HOUSE MADE BQT CHART'!C13&lt;&gt;"",'HOUSE MADE BQT CHART'!H13,"")</f>
        <v/>
      </c>
      <c r="D12" s="19"/>
      <c r="E12" s="19"/>
      <c r="F12" s="98" t="str">
        <f>IF('HOUSE MADE BQT CHART'!C13&lt;&gt;"",'HOUSE MADE BQT CHART'!B13,"")</f>
        <v/>
      </c>
      <c r="G12" s="426"/>
      <c r="H12" s="426"/>
      <c r="I12" s="426"/>
      <c r="J12" s="426"/>
      <c r="K12" s="426"/>
      <c r="L12" s="426"/>
      <c r="M12" s="611"/>
    </row>
    <row r="13" spans="2:13" s="59" customFormat="1" x14ac:dyDescent="0.3">
      <c r="B13" s="73" t="str">
        <f>IF('HOUSE MADE BQT CHART'!C14&lt;&gt;"",'HOUSE MADE BQT CHART'!C14,"")</f>
        <v/>
      </c>
      <c r="C13" s="19" t="str">
        <f>IF('HOUSE MADE BQT CHART'!C14&lt;&gt;"",'HOUSE MADE BQT CHART'!H14,"")</f>
        <v/>
      </c>
      <c r="D13" s="19"/>
      <c r="E13" s="19"/>
      <c r="F13" s="98" t="str">
        <f>IF('HOUSE MADE BQT CHART'!C14&lt;&gt;"",'HOUSE MADE BQT CHART'!B14,"")</f>
        <v/>
      </c>
      <c r="G13" s="426"/>
      <c r="H13" s="426"/>
      <c r="I13" s="426"/>
      <c r="J13" s="426"/>
      <c r="K13" s="426"/>
      <c r="L13" s="426"/>
      <c r="M13" s="611"/>
    </row>
    <row r="14" spans="2:13" s="59" customFormat="1" x14ac:dyDescent="0.3">
      <c r="B14" s="73" t="str">
        <f>IF('HOUSE MADE BQT CHART'!C15&lt;&gt;"",'HOUSE MADE BQT CHART'!C15,"")</f>
        <v/>
      </c>
      <c r="C14" s="19" t="str">
        <f>IF('HOUSE MADE BQT CHART'!C15&lt;&gt;"",'HOUSE MADE BQT CHART'!H15,"")</f>
        <v/>
      </c>
      <c r="D14" s="19"/>
      <c r="E14" s="19"/>
      <c r="F14" s="98" t="str">
        <f>IF('HOUSE MADE BQT CHART'!C15&lt;&gt;"",'HOUSE MADE BQT CHART'!B15,"")</f>
        <v/>
      </c>
      <c r="G14" s="426"/>
      <c r="H14" s="426"/>
      <c r="I14" s="426"/>
      <c r="J14" s="426"/>
      <c r="K14" s="426"/>
      <c r="L14" s="426"/>
      <c r="M14" s="611"/>
    </row>
    <row r="15" spans="2:13" s="59" customFormat="1" x14ac:dyDescent="0.3">
      <c r="B15" s="73" t="str">
        <f>IF('HOUSE MADE BQT CHART'!C16&lt;&gt;"",'HOUSE MADE BQT CHART'!C16,"")</f>
        <v/>
      </c>
      <c r="C15" s="19" t="str">
        <f>IF('HOUSE MADE BQT CHART'!C16&lt;&gt;"",'HOUSE MADE BQT CHART'!H16,"")</f>
        <v/>
      </c>
      <c r="D15" s="19"/>
      <c r="E15" s="19"/>
      <c r="F15" s="98" t="str">
        <f>IF('HOUSE MADE BQT CHART'!C16&lt;&gt;"",'HOUSE MADE BQT CHART'!B16,"")</f>
        <v/>
      </c>
      <c r="G15" s="426"/>
      <c r="H15" s="426"/>
      <c r="I15" s="426"/>
      <c r="J15" s="426"/>
      <c r="K15" s="426"/>
      <c r="L15" s="426"/>
      <c r="M15" s="611"/>
    </row>
    <row r="16" spans="2:13" s="59" customFormat="1" x14ac:dyDescent="0.3">
      <c r="B16" s="73" t="str">
        <f>IF('HOUSE MADE BQT CHART'!C17&lt;&gt;"",'HOUSE MADE BQT CHART'!C17,"")</f>
        <v/>
      </c>
      <c r="C16" s="19" t="str">
        <f>IF('HOUSE MADE BQT CHART'!C17&lt;&gt;"",'HOUSE MADE BQT CHART'!H17,"")</f>
        <v/>
      </c>
      <c r="D16" s="19"/>
      <c r="E16" s="19"/>
      <c r="F16" s="98" t="str">
        <f>IF('HOUSE MADE BQT CHART'!C17&lt;&gt;"",'HOUSE MADE BQT CHART'!B17,"")</f>
        <v/>
      </c>
      <c r="G16" s="426"/>
      <c r="H16" s="426"/>
      <c r="I16" s="426"/>
      <c r="J16" s="426"/>
      <c r="K16" s="426"/>
      <c r="L16" s="426"/>
      <c r="M16" s="611"/>
    </row>
    <row r="17" spans="2:13" s="59" customFormat="1" x14ac:dyDescent="0.3">
      <c r="B17" s="73" t="str">
        <f>IF('HOUSE MADE BQT CHART'!C18&lt;&gt;"",'HOUSE MADE BQT CHART'!C18,"")</f>
        <v/>
      </c>
      <c r="C17" s="19" t="str">
        <f>IF('HOUSE MADE BQT CHART'!C18&lt;&gt;"",'HOUSE MADE BQT CHART'!H18,"")</f>
        <v/>
      </c>
      <c r="D17" s="19"/>
      <c r="E17" s="19"/>
      <c r="F17" s="98" t="str">
        <f>IF('HOUSE MADE BQT CHART'!C18&lt;&gt;"",'HOUSE MADE BQT CHART'!B18,"")</f>
        <v/>
      </c>
      <c r="G17" s="426"/>
      <c r="H17" s="426"/>
      <c r="I17" s="426"/>
      <c r="J17" s="426"/>
      <c r="K17" s="426"/>
      <c r="L17" s="426"/>
      <c r="M17" s="611"/>
    </row>
    <row r="18" spans="2:13" s="59" customFormat="1" x14ac:dyDescent="0.3">
      <c r="B18" s="73" t="str">
        <f>IF('HOUSE MADE BQT CHART'!C19&lt;&gt;"",'HOUSE MADE BQT CHART'!C19,"")</f>
        <v/>
      </c>
      <c r="C18" s="19" t="str">
        <f>IF('HOUSE MADE BQT CHART'!C19&lt;&gt;"",'HOUSE MADE BQT CHART'!H19,"")</f>
        <v/>
      </c>
      <c r="D18" s="19"/>
      <c r="E18" s="19"/>
      <c r="F18" s="98" t="str">
        <f>IF('HOUSE MADE BQT CHART'!C19&lt;&gt;"",'HOUSE MADE BQT CHART'!B19,"")</f>
        <v/>
      </c>
      <c r="G18" s="426"/>
      <c r="H18" s="426"/>
      <c r="I18" s="426"/>
      <c r="J18" s="426"/>
      <c r="K18" s="426"/>
      <c r="L18" s="426"/>
      <c r="M18" s="611"/>
    </row>
    <row r="19" spans="2:13" s="59" customFormat="1" x14ac:dyDescent="0.3">
      <c r="B19" s="73" t="str">
        <f>IF('HOUSE MADE BQT CHART'!C20&lt;&gt;"",'HOUSE MADE BQT CHART'!C20,"")</f>
        <v/>
      </c>
      <c r="C19" s="19" t="str">
        <f>IF('HOUSE MADE BQT CHART'!C20&lt;&gt;"",'HOUSE MADE BQT CHART'!H20,"")</f>
        <v/>
      </c>
      <c r="D19" s="19"/>
      <c r="E19" s="19"/>
      <c r="F19" s="98" t="str">
        <f>IF('HOUSE MADE BQT CHART'!C20&lt;&gt;"",'HOUSE MADE BQT CHART'!B20,"")</f>
        <v/>
      </c>
      <c r="G19" s="426"/>
      <c r="H19" s="426"/>
      <c r="I19" s="426"/>
      <c r="J19" s="426"/>
      <c r="K19" s="426"/>
      <c r="L19" s="426"/>
      <c r="M19" s="611"/>
    </row>
    <row r="20" spans="2:13" s="59" customFormat="1" x14ac:dyDescent="0.3">
      <c r="B20" s="73" t="str">
        <f>IF('HOUSE MADE BQT CHART'!C21&lt;&gt;"",'HOUSE MADE BQT CHART'!C21,"")</f>
        <v/>
      </c>
      <c r="C20" s="19" t="str">
        <f>IF('HOUSE MADE BQT CHART'!C21&lt;&gt;"",'HOUSE MADE BQT CHART'!H21,"")</f>
        <v/>
      </c>
      <c r="D20" s="19"/>
      <c r="E20" s="19"/>
      <c r="F20" s="98" t="str">
        <f>IF('HOUSE MADE BQT CHART'!C21&lt;&gt;"",'HOUSE MADE BQT CHART'!B21,"")</f>
        <v/>
      </c>
      <c r="G20" s="426"/>
      <c r="H20" s="426"/>
      <c r="I20" s="426"/>
      <c r="J20" s="426"/>
      <c r="K20" s="426"/>
      <c r="L20" s="426"/>
      <c r="M20" s="611"/>
    </row>
    <row r="21" spans="2:13" s="59" customFormat="1" x14ac:dyDescent="0.3">
      <c r="B21" s="73" t="str">
        <f>IF('HOUSE MADE BQT CHART'!C22&lt;&gt;"",'HOUSE MADE BQT CHART'!C22,"")</f>
        <v/>
      </c>
      <c r="C21" s="19" t="str">
        <f>IF('HOUSE MADE BQT CHART'!C22&lt;&gt;"",'HOUSE MADE BQT CHART'!H22,"")</f>
        <v/>
      </c>
      <c r="D21" s="19"/>
      <c r="E21" s="19"/>
      <c r="F21" s="98" t="str">
        <f>IF('HOUSE MADE BQT CHART'!C22&lt;&gt;"",'HOUSE MADE BQT CHART'!B22,"")</f>
        <v/>
      </c>
      <c r="G21" s="426"/>
      <c r="H21" s="426"/>
      <c r="I21" s="426"/>
      <c r="J21" s="426"/>
      <c r="K21" s="426"/>
      <c r="L21" s="426"/>
      <c r="M21" s="611"/>
    </row>
    <row r="22" spans="2:13" s="59" customFormat="1" x14ac:dyDescent="0.3">
      <c r="B22" s="73" t="str">
        <f>IF('HOUSE MADE BQT CHART'!C23&lt;&gt;"",'HOUSE MADE BQT CHART'!C23,"")</f>
        <v/>
      </c>
      <c r="C22" s="19" t="str">
        <f>IF('HOUSE MADE BQT CHART'!C23&lt;&gt;"",'HOUSE MADE BQT CHART'!H23,"")</f>
        <v/>
      </c>
      <c r="D22" s="19"/>
      <c r="E22" s="19"/>
      <c r="F22" s="98" t="str">
        <f>IF('HOUSE MADE BQT CHART'!C23&lt;&gt;"",'HOUSE MADE BQT CHART'!B23,"")</f>
        <v/>
      </c>
      <c r="G22" s="426"/>
      <c r="H22" s="426"/>
      <c r="I22" s="426"/>
      <c r="J22" s="426"/>
      <c r="K22" s="426"/>
      <c r="L22" s="426"/>
      <c r="M22" s="611"/>
    </row>
    <row r="23" spans="2:13" s="59" customFormat="1" x14ac:dyDescent="0.3">
      <c r="B23" s="73" t="str">
        <f>IF('HOUSE MADE BQT CHART'!C24&lt;&gt;"",'HOUSE MADE BQT CHART'!C24,"")</f>
        <v/>
      </c>
      <c r="C23" s="19" t="str">
        <f>IF('HOUSE MADE BQT CHART'!C24&lt;&gt;"",'HOUSE MADE BQT CHART'!H24,"")</f>
        <v/>
      </c>
      <c r="D23" s="19"/>
      <c r="E23" s="19"/>
      <c r="F23" s="98" t="str">
        <f>IF('HOUSE MADE BQT CHART'!C24&lt;&gt;"",'HOUSE MADE BQT CHART'!B24,"")</f>
        <v/>
      </c>
      <c r="G23" s="426"/>
      <c r="H23" s="426"/>
      <c r="I23" s="426"/>
      <c r="J23" s="426"/>
      <c r="K23" s="426"/>
      <c r="L23" s="426"/>
      <c r="M23" s="611"/>
    </row>
    <row r="24" spans="2:13" s="59" customFormat="1" x14ac:dyDescent="0.3">
      <c r="B24" s="73" t="str">
        <f>IF('HOUSE MADE BQT CHART'!C25&lt;&gt;"",'HOUSE MADE BQT CHART'!C25,"")</f>
        <v/>
      </c>
      <c r="C24" s="19" t="str">
        <f>IF('HOUSE MADE BQT CHART'!C25&lt;&gt;"",'HOUSE MADE BQT CHART'!H25,"")</f>
        <v/>
      </c>
      <c r="D24" s="19"/>
      <c r="E24" s="19"/>
      <c r="F24" s="98" t="str">
        <f>IF('HOUSE MADE BQT CHART'!C25&lt;&gt;"",'HOUSE MADE BQT CHART'!B25,"")</f>
        <v/>
      </c>
      <c r="G24" s="426"/>
      <c r="H24" s="426"/>
      <c r="I24" s="426"/>
      <c r="J24" s="426"/>
      <c r="K24" s="426"/>
      <c r="L24" s="426"/>
      <c r="M24" s="611"/>
    </row>
    <row r="25" spans="2:13" s="59" customFormat="1" x14ac:dyDescent="0.3">
      <c r="B25" s="73" t="str">
        <f>IF('HOUSE MADE BQT CHART'!C26&lt;&gt;"",'HOUSE MADE BQT CHART'!C26,"")</f>
        <v/>
      </c>
      <c r="C25" s="19" t="str">
        <f>IF('HOUSE MADE BQT CHART'!C26&lt;&gt;"",'HOUSE MADE BQT CHART'!H26,"")</f>
        <v/>
      </c>
      <c r="D25" s="19"/>
      <c r="E25" s="19"/>
      <c r="F25" s="98" t="str">
        <f>IF('HOUSE MADE BQT CHART'!C26&lt;&gt;"",'HOUSE MADE BQT CHART'!B26,"")</f>
        <v/>
      </c>
      <c r="G25" s="426"/>
      <c r="H25" s="426"/>
      <c r="I25" s="426"/>
      <c r="J25" s="426"/>
      <c r="K25" s="426"/>
      <c r="L25" s="426"/>
      <c r="M25" s="611"/>
    </row>
    <row r="26" spans="2:13" s="59" customFormat="1" x14ac:dyDescent="0.3">
      <c r="B26" s="73" t="str">
        <f>IF('HOUSE MADE BQT CHART'!C27&lt;&gt;"",'HOUSE MADE BQT CHART'!C27,"")</f>
        <v/>
      </c>
      <c r="C26" s="19" t="str">
        <f>IF('HOUSE MADE BQT CHART'!C27&lt;&gt;"",'HOUSE MADE BQT CHART'!H27,"")</f>
        <v/>
      </c>
      <c r="D26" s="19"/>
      <c r="E26" s="19"/>
      <c r="F26" s="98" t="str">
        <f>IF('HOUSE MADE BQT CHART'!C27&lt;&gt;"",'HOUSE MADE BQT CHART'!B27,"")</f>
        <v/>
      </c>
      <c r="G26" s="426"/>
      <c r="H26" s="426"/>
      <c r="I26" s="426"/>
      <c r="J26" s="426"/>
      <c r="K26" s="426"/>
      <c r="L26" s="426"/>
      <c r="M26" s="611"/>
    </row>
    <row r="27" spans="2:13" s="59" customFormat="1" x14ac:dyDescent="0.3">
      <c r="B27" s="73" t="str">
        <f>IF('HOUSE MADE BQT CHART'!C28&lt;&gt;"",'HOUSE MADE BQT CHART'!C28,"")</f>
        <v/>
      </c>
      <c r="C27" s="19" t="str">
        <f>IF('HOUSE MADE BQT CHART'!C28&lt;&gt;"",'HOUSE MADE BQT CHART'!H28,"")</f>
        <v/>
      </c>
      <c r="D27" s="19"/>
      <c r="E27" s="19"/>
      <c r="F27" s="98" t="str">
        <f>IF('HOUSE MADE BQT CHART'!C28&lt;&gt;"",'HOUSE MADE BQT CHART'!B28,"")</f>
        <v/>
      </c>
      <c r="G27" s="426"/>
      <c r="H27" s="426"/>
      <c r="I27" s="426"/>
      <c r="J27" s="426"/>
      <c r="K27" s="426"/>
      <c r="L27" s="426"/>
      <c r="M27" s="611"/>
    </row>
    <row r="28" spans="2:13" s="59" customFormat="1" x14ac:dyDescent="0.3">
      <c r="B28" s="73" t="str">
        <f>IF('HOUSE MADE BQT CHART'!C29&lt;&gt;"",'HOUSE MADE BQT CHART'!C29,"")</f>
        <v/>
      </c>
      <c r="C28" s="19" t="str">
        <f>IF('HOUSE MADE BQT CHART'!C29&lt;&gt;"",'HOUSE MADE BQT CHART'!H29,"")</f>
        <v/>
      </c>
      <c r="D28" s="19"/>
      <c r="E28" s="19"/>
      <c r="F28" s="98" t="str">
        <f>IF('HOUSE MADE BQT CHART'!C29&lt;&gt;"",'HOUSE MADE BQT CHART'!B29,"")</f>
        <v/>
      </c>
      <c r="G28" s="426"/>
      <c r="H28" s="426"/>
      <c r="I28" s="426"/>
      <c r="J28" s="426"/>
      <c r="K28" s="426"/>
      <c r="L28" s="426"/>
      <c r="M28" s="611"/>
    </row>
    <row r="29" spans="2:13" s="59" customFormat="1" x14ac:dyDescent="0.3">
      <c r="B29" s="73" t="str">
        <f>IF('HOUSE MADE BQT CHART'!C30&lt;&gt;"",'HOUSE MADE BQT CHART'!C30,"")</f>
        <v/>
      </c>
      <c r="C29" s="19" t="str">
        <f>IF('HOUSE MADE BQT CHART'!C30&lt;&gt;"",'HOUSE MADE BQT CHART'!H30,"")</f>
        <v/>
      </c>
      <c r="D29" s="19"/>
      <c r="E29" s="19"/>
      <c r="F29" s="98" t="str">
        <f>IF('HOUSE MADE BQT CHART'!C30&lt;&gt;"",'HOUSE MADE BQT CHART'!B30,"")</f>
        <v/>
      </c>
      <c r="G29" s="426"/>
      <c r="H29" s="426"/>
      <c r="I29" s="426"/>
      <c r="J29" s="426"/>
      <c r="K29" s="426"/>
      <c r="L29" s="426"/>
      <c r="M29" s="611"/>
    </row>
    <row r="30" spans="2:13" s="59" customFormat="1" x14ac:dyDescent="0.3">
      <c r="B30" s="73" t="str">
        <f>IF('HOUSE MADE BQT CHART'!C31&lt;&gt;"",'HOUSE MADE BQT CHART'!C31,"")</f>
        <v/>
      </c>
      <c r="C30" s="19" t="str">
        <f>IF('HOUSE MADE BQT CHART'!C31&lt;&gt;"",'HOUSE MADE BQT CHART'!H31,"")</f>
        <v/>
      </c>
      <c r="D30" s="19"/>
      <c r="E30" s="19"/>
      <c r="F30" s="98" t="str">
        <f>IF('HOUSE MADE BQT CHART'!C31&lt;&gt;"",'HOUSE MADE BQT CHART'!B31,"")</f>
        <v/>
      </c>
      <c r="G30" s="426"/>
      <c r="H30" s="426"/>
      <c r="I30" s="426"/>
      <c r="J30" s="426"/>
      <c r="K30" s="426"/>
      <c r="L30" s="426"/>
      <c r="M30" s="611"/>
    </row>
    <row r="31" spans="2:13" s="59" customFormat="1" x14ac:dyDescent="0.3">
      <c r="B31" s="73" t="str">
        <f>IF('HOUSE MADE BQT CHART'!C32&lt;&gt;"",'HOUSE MADE BQT CHART'!C32,"")</f>
        <v/>
      </c>
      <c r="C31" s="19" t="str">
        <f>IF('HOUSE MADE BQT CHART'!C32&lt;&gt;"",'HOUSE MADE BQT CHART'!H32,"")</f>
        <v/>
      </c>
      <c r="D31" s="19"/>
      <c r="E31" s="19"/>
      <c r="F31" s="98" t="str">
        <f>IF('HOUSE MADE BQT CHART'!C32&lt;&gt;"",'HOUSE MADE BQT CHART'!B32,"")</f>
        <v/>
      </c>
      <c r="G31" s="426"/>
      <c r="H31" s="426"/>
      <c r="I31" s="426"/>
      <c r="J31" s="426"/>
      <c r="K31" s="426"/>
      <c r="L31" s="426"/>
      <c r="M31" s="611"/>
    </row>
    <row r="32" spans="2:13" s="59" customFormat="1" x14ac:dyDescent="0.3">
      <c r="B32" s="73" t="str">
        <f>IF('HOUSE MADE BQT CHART'!C33&lt;&gt;"",'HOUSE MADE BQT CHART'!C33,"")</f>
        <v/>
      </c>
      <c r="C32" s="19" t="str">
        <f>IF('HOUSE MADE BQT CHART'!C33&lt;&gt;"",'HOUSE MADE BQT CHART'!H33,"")</f>
        <v/>
      </c>
      <c r="D32" s="19"/>
      <c r="E32" s="19"/>
      <c r="F32" s="98" t="str">
        <f>IF('HOUSE MADE BQT CHART'!C33&lt;&gt;"",'HOUSE MADE BQT CHART'!B33,"")</f>
        <v/>
      </c>
      <c r="G32" s="426"/>
      <c r="H32" s="426"/>
      <c r="I32" s="426"/>
      <c r="J32" s="426"/>
      <c r="K32" s="426"/>
      <c r="L32" s="426"/>
      <c r="M32" s="611"/>
    </row>
    <row r="33" spans="1:13" s="59" customFormat="1" x14ac:dyDescent="0.3">
      <c r="B33" s="73" t="str">
        <f>IF('HOUSE MADE BQT CHART'!C34&lt;&gt;"",'HOUSE MADE BQT CHART'!C34,"")</f>
        <v/>
      </c>
      <c r="C33" s="19" t="str">
        <f>IF('HOUSE MADE BQT CHART'!C34&lt;&gt;"",'HOUSE MADE BQT CHART'!H34,"")</f>
        <v/>
      </c>
      <c r="D33" s="19"/>
      <c r="E33" s="19"/>
      <c r="F33" s="98" t="str">
        <f>IF('HOUSE MADE BQT CHART'!C34&lt;&gt;"",'HOUSE MADE BQT CHART'!B34,"")</f>
        <v/>
      </c>
      <c r="G33" s="426"/>
      <c r="H33" s="426"/>
      <c r="I33" s="426"/>
      <c r="J33" s="426"/>
      <c r="K33" s="426"/>
      <c r="L33" s="426"/>
      <c r="M33" s="611"/>
    </row>
    <row r="34" spans="1:13" s="59" customFormat="1" ht="15" thickBot="1" x14ac:dyDescent="0.35">
      <c r="B34" s="103" t="str">
        <f>IF('HOUSE MADE BQT CHART'!C35&lt;&gt;"",'HOUSE MADE BQT CHART'!C35,"")</f>
        <v/>
      </c>
      <c r="C34" s="38" t="str">
        <f>IF('HOUSE MADE BQT CHART'!C35&lt;&gt;"",'HOUSE MADE BQT CHART'!H35,"")</f>
        <v/>
      </c>
      <c r="D34" s="38"/>
      <c r="E34" s="38"/>
      <c r="F34" s="104" t="str">
        <f>IF('HOUSE MADE BQT CHART'!C35&lt;&gt;"",'HOUSE MADE BQT CHART'!B35,"")</f>
        <v/>
      </c>
      <c r="G34" s="426"/>
      <c r="H34" s="426"/>
      <c r="I34" s="426"/>
      <c r="J34" s="426"/>
      <c r="K34" s="426"/>
      <c r="L34" s="426"/>
      <c r="M34" s="611"/>
    </row>
    <row r="35" spans="1:13" s="59" customFormat="1" ht="15" thickBot="1" x14ac:dyDescent="0.35">
      <c r="B35" s="107" t="s">
        <v>45</v>
      </c>
      <c r="C35" s="105"/>
      <c r="D35" s="106"/>
      <c r="E35" s="99" t="s">
        <v>398</v>
      </c>
      <c r="F35" s="100">
        <f>SUM(F10:F34)</f>
        <v>12</v>
      </c>
      <c r="G35" s="426"/>
      <c r="H35" s="426"/>
      <c r="I35" s="426"/>
      <c r="J35" s="426"/>
      <c r="K35" s="426"/>
      <c r="L35" s="426"/>
      <c r="M35" s="611"/>
    </row>
    <row r="36" spans="1:13" s="59" customFormat="1" x14ac:dyDescent="0.3">
      <c r="B36" s="639"/>
      <c r="C36" s="640"/>
      <c r="D36" s="640"/>
      <c r="E36" s="640"/>
      <c r="F36" s="640"/>
      <c r="G36" s="643" t="s">
        <v>399</v>
      </c>
      <c r="H36" s="643"/>
      <c r="I36" s="644"/>
      <c r="J36" s="644"/>
      <c r="K36" s="644"/>
      <c r="L36" s="644"/>
      <c r="M36" s="645"/>
    </row>
    <row r="37" spans="1:13" s="59" customFormat="1" ht="15.6" x14ac:dyDescent="0.3">
      <c r="B37" s="641"/>
      <c r="C37" s="642"/>
      <c r="D37" s="642"/>
      <c r="E37" s="642"/>
      <c r="F37" s="642"/>
      <c r="G37" s="646" t="s">
        <v>400</v>
      </c>
      <c r="H37" s="646"/>
      <c r="I37" s="647"/>
      <c r="J37" s="647"/>
      <c r="K37" s="647"/>
      <c r="L37" s="647"/>
      <c r="M37" s="648"/>
    </row>
    <row r="38" spans="1:13" s="59" customFormat="1" ht="15.6" x14ac:dyDescent="0.3">
      <c r="B38" s="641"/>
      <c r="C38" s="642"/>
      <c r="D38" s="642"/>
      <c r="E38" s="642"/>
      <c r="F38" s="642"/>
      <c r="G38" s="646" t="s">
        <v>401</v>
      </c>
      <c r="H38" s="646"/>
      <c r="I38" s="649"/>
      <c r="J38" s="650"/>
      <c r="K38" s="650"/>
      <c r="L38" s="650"/>
      <c r="M38" s="651"/>
    </row>
    <row r="39" spans="1:13" s="59" customFormat="1" ht="15.6" x14ac:dyDescent="0.3">
      <c r="B39" s="641"/>
      <c r="C39" s="642"/>
      <c r="D39" s="642"/>
      <c r="E39" s="642"/>
      <c r="F39" s="642"/>
      <c r="G39" s="646" t="s">
        <v>402</v>
      </c>
      <c r="H39" s="646"/>
      <c r="I39" s="647"/>
      <c r="J39" s="647"/>
      <c r="K39" s="647"/>
      <c r="L39" s="647"/>
      <c r="M39" s="648"/>
    </row>
    <row r="40" spans="1:13" s="59" customFormat="1" x14ac:dyDescent="0.3">
      <c r="B40" s="641"/>
      <c r="C40" s="642"/>
      <c r="D40" s="642"/>
      <c r="E40" s="642"/>
      <c r="F40" s="642"/>
      <c r="G40" s="637" t="s">
        <v>403</v>
      </c>
      <c r="H40" s="637"/>
      <c r="I40" s="637"/>
      <c r="J40" s="638"/>
      <c r="K40" s="652" t="s">
        <v>404</v>
      </c>
      <c r="L40" s="637"/>
      <c r="M40" s="653"/>
    </row>
    <row r="41" spans="1:13" s="59" customFormat="1" x14ac:dyDescent="0.3">
      <c r="B41" s="636" t="s">
        <v>365</v>
      </c>
      <c r="C41" s="637"/>
      <c r="D41" s="637"/>
      <c r="E41" s="637"/>
      <c r="F41" s="638"/>
      <c r="G41" s="422"/>
      <c r="H41" s="423"/>
      <c r="I41" s="423"/>
      <c r="J41" s="424"/>
      <c r="K41" s="431"/>
      <c r="L41" s="432"/>
      <c r="M41" s="433"/>
    </row>
    <row r="42" spans="1:13" s="59" customFormat="1" x14ac:dyDescent="0.3">
      <c r="B42" s="72" t="s">
        <v>396</v>
      </c>
      <c r="C42" s="71" t="s">
        <v>405</v>
      </c>
      <c r="D42" s="71" t="s">
        <v>406</v>
      </c>
      <c r="E42" s="71" t="s">
        <v>407</v>
      </c>
      <c r="F42" s="71"/>
      <c r="G42" s="425"/>
      <c r="H42" s="426"/>
      <c r="I42" s="426"/>
      <c r="J42" s="427"/>
      <c r="K42" s="431"/>
      <c r="L42" s="432"/>
      <c r="M42" s="433"/>
    </row>
    <row r="43" spans="1:13" s="59" customFormat="1" x14ac:dyDescent="0.3">
      <c r="A43" s="59">
        <v>1</v>
      </c>
      <c r="B43" s="70" t="str">
        <f>IFERROR(VLOOKUP(A43,'HOUSE MADE BQT CHART'!$W$21:$AA$35,2,FALSE),"")</f>
        <v>CLEAR SLEEVE</v>
      </c>
      <c r="C43" s="44"/>
      <c r="D43" s="108">
        <f>IF(B43&lt;&gt;"",1,"")</f>
        <v>1</v>
      </c>
      <c r="E43" s="44"/>
      <c r="F43" s="19"/>
      <c r="G43" s="425"/>
      <c r="H43" s="426"/>
      <c r="I43" s="426"/>
      <c r="J43" s="427"/>
      <c r="K43" s="431"/>
      <c r="L43" s="432"/>
      <c r="M43" s="433"/>
    </row>
    <row r="44" spans="1:13" s="59" customFormat="1" x14ac:dyDescent="0.3">
      <c r="A44" s="59">
        <v>2</v>
      </c>
      <c r="B44" s="70" t="str">
        <f>IFERROR(VLOOKUP(A44,'HOUSE MADE BQT CHART'!$W$21:$AA$35,2,FALSE),"")</f>
        <v>OTHER 1</v>
      </c>
      <c r="C44" s="44"/>
      <c r="D44" s="108">
        <f t="shared" ref="D44:D47" si="0">IF(B44&lt;&gt;"",1,"")</f>
        <v>1</v>
      </c>
      <c r="E44" s="44"/>
      <c r="F44" s="19"/>
      <c r="G44" s="425"/>
      <c r="H44" s="426"/>
      <c r="I44" s="426"/>
      <c r="J44" s="427"/>
      <c r="K44" s="431"/>
      <c r="L44" s="432"/>
      <c r="M44" s="433"/>
    </row>
    <row r="45" spans="1:13" s="59" customFormat="1" x14ac:dyDescent="0.3">
      <c r="A45" s="59">
        <v>3</v>
      </c>
      <c r="B45" s="70" t="str">
        <f>IFERROR(VLOOKUP(A45,'HOUSE MADE BQT CHART'!$W$21:$AA$35,2,FALSE),"")</f>
        <v/>
      </c>
      <c r="C45" s="44"/>
      <c r="D45" s="108" t="str">
        <f t="shared" si="0"/>
        <v/>
      </c>
      <c r="E45" s="44"/>
      <c r="F45" s="19"/>
      <c r="G45" s="425"/>
      <c r="H45" s="426"/>
      <c r="I45" s="426"/>
      <c r="J45" s="427"/>
      <c r="K45" s="431"/>
      <c r="L45" s="432"/>
      <c r="M45" s="433"/>
    </row>
    <row r="46" spans="1:13" s="59" customFormat="1" x14ac:dyDescent="0.3">
      <c r="A46" s="59">
        <v>4</v>
      </c>
      <c r="B46" s="70" t="str">
        <f>IFERROR(VLOOKUP(A46,'HOUSE MADE BQT CHART'!$W$21:$AA$35,2,FALSE),"")</f>
        <v/>
      </c>
      <c r="C46" s="44"/>
      <c r="D46" s="108" t="str">
        <f t="shared" si="0"/>
        <v/>
      </c>
      <c r="E46" s="44"/>
      <c r="F46" s="19"/>
      <c r="G46" s="425"/>
      <c r="H46" s="426"/>
      <c r="I46" s="426"/>
      <c r="J46" s="427"/>
      <c r="K46" s="431"/>
      <c r="L46" s="432"/>
      <c r="M46" s="433"/>
    </row>
    <row r="47" spans="1:13" s="59" customFormat="1" ht="15" thickBot="1" x14ac:dyDescent="0.35">
      <c r="A47" s="59">
        <v>5</v>
      </c>
      <c r="B47" s="69" t="str">
        <f>IFERROR(VLOOKUP(A47,'HOUSE MADE BQT CHART'!$W$21:$AA$35,2,FALSE),"")</f>
        <v/>
      </c>
      <c r="C47" s="68"/>
      <c r="D47" s="109" t="str">
        <f t="shared" si="0"/>
        <v/>
      </c>
      <c r="E47" s="68"/>
      <c r="F47" s="38"/>
      <c r="G47" s="428"/>
      <c r="H47" s="429"/>
      <c r="I47" s="429"/>
      <c r="J47" s="430"/>
      <c r="K47" s="67"/>
      <c r="L47" s="66"/>
      <c r="M47" s="65"/>
    </row>
    <row r="48" spans="1:13" s="59" customFormat="1" x14ac:dyDescent="0.3"/>
    <row r="49" spans="4:6" s="59" customFormat="1" x14ac:dyDescent="0.3"/>
    <row r="50" spans="4:6" s="59" customFormat="1" x14ac:dyDescent="0.3"/>
    <row r="51" spans="4:6" s="59" customFormat="1" x14ac:dyDescent="0.3"/>
    <row r="52" spans="4:6" s="59" customFormat="1" x14ac:dyDescent="0.3"/>
    <row r="53" spans="4:6" s="59" customFormat="1" x14ac:dyDescent="0.3"/>
    <row r="54" spans="4:6" s="59" customFormat="1" x14ac:dyDescent="0.3"/>
    <row r="55" spans="4:6" s="59" customFormat="1" x14ac:dyDescent="0.3"/>
    <row r="56" spans="4:6" s="59" customFormat="1" x14ac:dyDescent="0.3"/>
    <row r="57" spans="4:6" s="59" customFormat="1" x14ac:dyDescent="0.3"/>
    <row r="58" spans="4:6" s="59" customFormat="1" x14ac:dyDescent="0.3"/>
    <row r="59" spans="4:6" s="59" customFormat="1" x14ac:dyDescent="0.3">
      <c r="D59" s="64"/>
      <c r="E59" s="64"/>
      <c r="F59" s="64"/>
    </row>
    <row r="60" spans="4:6" s="59" customFormat="1" x14ac:dyDescent="0.3">
      <c r="D60" s="64"/>
      <c r="E60" s="64"/>
      <c r="F60" s="64"/>
    </row>
    <row r="61" spans="4:6" s="59" customFormat="1" x14ac:dyDescent="0.3">
      <c r="D61" s="64"/>
      <c r="E61" s="64"/>
      <c r="F61" s="64"/>
    </row>
    <row r="62" spans="4:6" s="59" customFormat="1" x14ac:dyDescent="0.3">
      <c r="D62" s="64"/>
      <c r="E62" s="64"/>
      <c r="F62" s="64"/>
    </row>
    <row r="63" spans="4:6" s="59" customFormat="1" x14ac:dyDescent="0.3">
      <c r="D63" s="64"/>
      <c r="E63" s="64"/>
      <c r="F63" s="64"/>
    </row>
    <row r="64" spans="4:6" s="59" customFormat="1" x14ac:dyDescent="0.3">
      <c r="D64" s="64"/>
      <c r="E64" s="64"/>
      <c r="F64" s="64"/>
    </row>
    <row r="65" spans="4:6" s="59" customFormat="1" x14ac:dyDescent="0.3">
      <c r="D65" s="64"/>
      <c r="E65" s="64"/>
      <c r="F65" s="64"/>
    </row>
    <row r="66" spans="4:6" s="59" customFormat="1" x14ac:dyDescent="0.3">
      <c r="D66" s="64"/>
      <c r="E66" s="64"/>
      <c r="F66" s="64"/>
    </row>
    <row r="67" spans="4:6" s="59" customFormat="1" x14ac:dyDescent="0.3">
      <c r="D67" s="64"/>
      <c r="E67" s="64"/>
      <c r="F67" s="64"/>
    </row>
    <row r="68" spans="4:6" s="59" customFormat="1" x14ac:dyDescent="0.3">
      <c r="D68" s="64"/>
      <c r="E68" s="64"/>
      <c r="F68" s="64"/>
    </row>
    <row r="69" spans="4:6" s="59" customFormat="1" x14ac:dyDescent="0.3">
      <c r="D69" s="64"/>
      <c r="E69" s="64"/>
      <c r="F69" s="64"/>
    </row>
    <row r="70" spans="4:6" s="59" customFormat="1" x14ac:dyDescent="0.3">
      <c r="D70" s="64"/>
      <c r="E70" s="64"/>
      <c r="F70" s="64"/>
    </row>
    <row r="71" spans="4:6" s="59" customFormat="1" x14ac:dyDescent="0.3">
      <c r="D71" s="64"/>
      <c r="E71" s="64"/>
      <c r="F71" s="64"/>
    </row>
    <row r="72" spans="4:6" s="59" customFormat="1" x14ac:dyDescent="0.3">
      <c r="D72" s="64"/>
      <c r="E72" s="64"/>
      <c r="F72" s="64"/>
    </row>
    <row r="73" spans="4:6" s="59" customFormat="1" x14ac:dyDescent="0.3">
      <c r="D73" s="64"/>
      <c r="E73" s="64"/>
      <c r="F73" s="64"/>
    </row>
    <row r="74" spans="4:6" s="59" customFormat="1" x14ac:dyDescent="0.3">
      <c r="D74" s="64"/>
      <c r="E74" s="64"/>
      <c r="F74" s="64"/>
    </row>
    <row r="75" spans="4:6" s="59" customFormat="1" x14ac:dyDescent="0.3">
      <c r="D75" s="64"/>
      <c r="E75" s="64"/>
      <c r="F75" s="64"/>
    </row>
    <row r="76" spans="4:6" s="59" customFormat="1" x14ac:dyDescent="0.3">
      <c r="D76" s="64"/>
      <c r="E76" s="64"/>
      <c r="F76" s="64"/>
    </row>
    <row r="77" spans="4:6" s="59" customFormat="1" x14ac:dyDescent="0.3">
      <c r="D77" s="64"/>
      <c r="E77" s="64"/>
      <c r="F77" s="64"/>
    </row>
    <row r="78" spans="4:6" s="59" customFormat="1" x14ac:dyDescent="0.3">
      <c r="D78" s="64"/>
      <c r="E78" s="64"/>
      <c r="F78" s="64"/>
    </row>
    <row r="79" spans="4:6" s="59" customFormat="1" x14ac:dyDescent="0.3">
      <c r="D79" s="64"/>
      <c r="E79" s="64"/>
      <c r="F79" s="64"/>
    </row>
    <row r="80" spans="4:6" s="59" customFormat="1" x14ac:dyDescent="0.3">
      <c r="D80" s="64"/>
      <c r="E80" s="64"/>
      <c r="F80" s="64"/>
    </row>
    <row r="81" spans="4:6" s="59" customFormat="1" x14ac:dyDescent="0.3">
      <c r="D81" s="64"/>
      <c r="E81" s="64"/>
      <c r="F81" s="64"/>
    </row>
    <row r="82" spans="4:6" s="59" customFormat="1" x14ac:dyDescent="0.3">
      <c r="D82" s="64"/>
      <c r="E82" s="64"/>
      <c r="F82" s="64"/>
    </row>
    <row r="83" spans="4:6" s="59" customFormat="1" x14ac:dyDescent="0.3">
      <c r="D83" s="64"/>
      <c r="E83" s="64"/>
      <c r="F83" s="64"/>
    </row>
    <row r="84" spans="4:6" s="59" customFormat="1" x14ac:dyDescent="0.3">
      <c r="D84" s="64"/>
      <c r="E84" s="64"/>
      <c r="F84" s="64"/>
    </row>
    <row r="85" spans="4:6" s="59" customFormat="1" x14ac:dyDescent="0.3">
      <c r="D85" s="64"/>
      <c r="E85" s="64"/>
      <c r="F85" s="64"/>
    </row>
    <row r="86" spans="4:6" s="59" customFormat="1" x14ac:dyDescent="0.3">
      <c r="D86" s="64"/>
      <c r="E86" s="64"/>
      <c r="F86" s="64"/>
    </row>
    <row r="87" spans="4:6" s="59" customFormat="1" x14ac:dyDescent="0.3">
      <c r="D87" s="64"/>
      <c r="E87" s="64"/>
      <c r="F87" s="64"/>
    </row>
    <row r="88" spans="4:6" s="59" customFormat="1" x14ac:dyDescent="0.3">
      <c r="D88" s="64"/>
      <c r="E88" s="64"/>
      <c r="F88" s="64"/>
    </row>
    <row r="89" spans="4:6" s="59" customFormat="1" x14ac:dyDescent="0.3">
      <c r="D89" s="64"/>
      <c r="E89" s="64"/>
      <c r="F89" s="64"/>
    </row>
    <row r="90" spans="4:6" s="59" customFormat="1" x14ac:dyDescent="0.3">
      <c r="D90" s="64"/>
      <c r="E90" s="64"/>
      <c r="F90" s="64"/>
    </row>
    <row r="91" spans="4:6" s="59" customFormat="1" x14ac:dyDescent="0.3">
      <c r="D91" s="64"/>
      <c r="E91" s="64"/>
      <c r="F91" s="64"/>
    </row>
    <row r="92" spans="4:6" s="59" customFormat="1" x14ac:dyDescent="0.3">
      <c r="D92" s="64"/>
      <c r="E92" s="64"/>
      <c r="F92" s="64"/>
    </row>
    <row r="93" spans="4:6" s="59" customFormat="1" x14ac:dyDescent="0.3">
      <c r="D93" s="64"/>
      <c r="E93" s="64"/>
      <c r="F93" s="64"/>
    </row>
    <row r="94" spans="4:6" s="59" customFormat="1" x14ac:dyDescent="0.3">
      <c r="D94" s="64"/>
      <c r="E94" s="64"/>
      <c r="F94" s="64"/>
    </row>
    <row r="95" spans="4:6" s="59" customFormat="1" x14ac:dyDescent="0.3">
      <c r="D95" s="64"/>
      <c r="E95" s="64"/>
      <c r="F95" s="64"/>
    </row>
    <row r="96" spans="4:6" s="59" customFormat="1" x14ac:dyDescent="0.3">
      <c r="D96" s="64"/>
      <c r="E96" s="64"/>
      <c r="F96" s="64"/>
    </row>
    <row r="97" spans="4:6" s="59" customFormat="1" x14ac:dyDescent="0.3">
      <c r="D97" s="64"/>
      <c r="E97" s="64"/>
      <c r="F97" s="64"/>
    </row>
    <row r="98" spans="4:6" s="59" customFormat="1" x14ac:dyDescent="0.3">
      <c r="D98" s="64"/>
      <c r="E98" s="64"/>
      <c r="F98" s="64"/>
    </row>
    <row r="99" spans="4:6" s="59" customFormat="1" x14ac:dyDescent="0.3">
      <c r="D99" s="64"/>
      <c r="E99" s="64"/>
      <c r="F99" s="64"/>
    </row>
    <row r="100" spans="4:6" s="59" customFormat="1" x14ac:dyDescent="0.3">
      <c r="D100" s="64"/>
      <c r="E100" s="64"/>
      <c r="F100" s="64"/>
    </row>
    <row r="101" spans="4:6" s="59" customFormat="1" x14ac:dyDescent="0.3">
      <c r="D101" s="64"/>
      <c r="E101" s="64"/>
      <c r="F101" s="64"/>
    </row>
    <row r="102" spans="4:6" s="59" customFormat="1" x14ac:dyDescent="0.3">
      <c r="D102" s="64"/>
      <c r="E102" s="64"/>
      <c r="F102" s="64"/>
    </row>
    <row r="103" spans="4:6" s="59" customFormat="1" x14ac:dyDescent="0.3">
      <c r="D103" s="64"/>
      <c r="E103" s="64"/>
      <c r="F103" s="64"/>
    </row>
    <row r="104" spans="4:6" s="59" customFormat="1" x14ac:dyDescent="0.3">
      <c r="D104" s="64"/>
      <c r="E104" s="64"/>
      <c r="F104" s="64"/>
    </row>
    <row r="105" spans="4:6" s="59" customFormat="1" x14ac:dyDescent="0.3">
      <c r="D105" s="64"/>
      <c r="E105" s="64"/>
      <c r="F105" s="64"/>
    </row>
    <row r="106" spans="4:6" s="59" customFormat="1" x14ac:dyDescent="0.3">
      <c r="D106" s="64"/>
      <c r="E106" s="64"/>
      <c r="F106" s="64"/>
    </row>
    <row r="107" spans="4:6" s="59" customFormat="1" x14ac:dyDescent="0.3">
      <c r="D107" s="64"/>
      <c r="E107" s="64"/>
      <c r="F107" s="64"/>
    </row>
    <row r="108" spans="4:6" s="59" customFormat="1" x14ac:dyDescent="0.3">
      <c r="D108" s="64"/>
      <c r="E108" s="64"/>
      <c r="F108" s="64"/>
    </row>
    <row r="109" spans="4:6" s="59" customFormat="1" x14ac:dyDescent="0.3">
      <c r="D109" s="64"/>
      <c r="E109" s="64"/>
      <c r="F109" s="64"/>
    </row>
    <row r="110" spans="4:6" s="59" customFormat="1" x14ac:dyDescent="0.3">
      <c r="D110" s="64"/>
      <c r="E110" s="64"/>
      <c r="F110" s="64"/>
    </row>
    <row r="111" spans="4:6" s="59" customFormat="1" x14ac:dyDescent="0.3">
      <c r="D111" s="64"/>
      <c r="E111" s="64"/>
      <c r="F111" s="64"/>
    </row>
    <row r="112" spans="4:6" s="59" customFormat="1" x14ac:dyDescent="0.3">
      <c r="D112" s="64"/>
      <c r="E112" s="64"/>
      <c r="F112" s="64"/>
    </row>
    <row r="113" spans="4:6" s="59" customFormat="1" x14ac:dyDescent="0.3">
      <c r="D113" s="64"/>
      <c r="E113" s="64"/>
      <c r="F113" s="64"/>
    </row>
    <row r="114" spans="4:6" s="59" customFormat="1" x14ac:dyDescent="0.3">
      <c r="D114" s="64"/>
      <c r="E114" s="64"/>
      <c r="F114" s="64"/>
    </row>
    <row r="115" spans="4:6" s="59" customFormat="1" x14ac:dyDescent="0.3">
      <c r="D115" s="64"/>
      <c r="E115" s="64"/>
      <c r="F115" s="64"/>
    </row>
    <row r="116" spans="4:6" s="59" customFormat="1" x14ac:dyDescent="0.3">
      <c r="D116" s="64"/>
      <c r="E116" s="64"/>
      <c r="F116" s="64"/>
    </row>
    <row r="117" spans="4:6" s="59" customFormat="1" x14ac:dyDescent="0.3">
      <c r="D117" s="64"/>
      <c r="E117" s="64"/>
      <c r="F117" s="64"/>
    </row>
    <row r="118" spans="4:6" s="59" customFormat="1" x14ac:dyDescent="0.3">
      <c r="D118" s="64"/>
      <c r="E118" s="64"/>
      <c r="F118" s="64"/>
    </row>
    <row r="119" spans="4:6" s="59" customFormat="1" x14ac:dyDescent="0.3">
      <c r="D119" s="64"/>
      <c r="E119" s="64"/>
      <c r="F119" s="64"/>
    </row>
    <row r="120" spans="4:6" s="59" customFormat="1" x14ac:dyDescent="0.3">
      <c r="D120" s="64"/>
      <c r="E120" s="64"/>
      <c r="F120" s="64"/>
    </row>
    <row r="121" spans="4:6" s="59" customFormat="1" x14ac:dyDescent="0.3">
      <c r="D121" s="64"/>
      <c r="E121" s="64"/>
      <c r="F121" s="64"/>
    </row>
    <row r="122" spans="4:6" s="59" customFormat="1" x14ac:dyDescent="0.3">
      <c r="D122" s="64"/>
      <c r="E122" s="64"/>
      <c r="F122" s="64"/>
    </row>
    <row r="123" spans="4:6" s="59" customFormat="1" x14ac:dyDescent="0.3">
      <c r="D123" s="64"/>
      <c r="E123" s="64"/>
      <c r="F123" s="64"/>
    </row>
    <row r="124" spans="4:6" s="59" customFormat="1" x14ac:dyDescent="0.3">
      <c r="D124" s="64"/>
      <c r="E124" s="64"/>
      <c r="F124" s="64"/>
    </row>
    <row r="125" spans="4:6" s="59" customFormat="1" x14ac:dyDescent="0.3">
      <c r="D125" s="64"/>
      <c r="E125" s="64"/>
      <c r="F125" s="64"/>
    </row>
    <row r="126" spans="4:6" s="59" customFormat="1" x14ac:dyDescent="0.3">
      <c r="D126" s="64"/>
      <c r="E126" s="64"/>
      <c r="F126" s="64"/>
    </row>
    <row r="127" spans="4:6" s="59" customFormat="1" x14ac:dyDescent="0.3">
      <c r="D127" s="64"/>
      <c r="E127" s="64"/>
      <c r="F127" s="64"/>
    </row>
    <row r="128" spans="4:6" s="59" customFormat="1" x14ac:dyDescent="0.3">
      <c r="D128" s="64"/>
      <c r="E128" s="64"/>
      <c r="F128" s="64"/>
    </row>
    <row r="129" spans="4:6" s="59" customFormat="1" x14ac:dyDescent="0.3">
      <c r="D129" s="64"/>
      <c r="E129" s="64"/>
      <c r="F129" s="64"/>
    </row>
    <row r="130" spans="4:6" s="59" customFormat="1" x14ac:dyDescent="0.3">
      <c r="D130" s="64"/>
      <c r="E130" s="64"/>
      <c r="F130" s="64"/>
    </row>
    <row r="131" spans="4:6" s="59" customFormat="1" x14ac:dyDescent="0.3">
      <c r="D131" s="64"/>
      <c r="E131" s="64"/>
      <c r="F131" s="64"/>
    </row>
    <row r="132" spans="4:6" s="59" customFormat="1" x14ac:dyDescent="0.3">
      <c r="D132" s="64"/>
      <c r="E132" s="64"/>
      <c r="F132" s="64"/>
    </row>
    <row r="133" spans="4:6" s="59" customFormat="1" x14ac:dyDescent="0.3">
      <c r="D133" s="64"/>
      <c r="E133" s="64"/>
      <c r="F133" s="64"/>
    </row>
    <row r="134" spans="4:6" s="59" customFormat="1" x14ac:dyDescent="0.3">
      <c r="D134" s="64"/>
      <c r="E134" s="64"/>
      <c r="F134" s="64"/>
    </row>
    <row r="135" spans="4:6" s="59" customFormat="1" x14ac:dyDescent="0.3">
      <c r="D135" s="64"/>
      <c r="E135" s="64"/>
      <c r="F135" s="64"/>
    </row>
    <row r="136" spans="4:6" s="59" customFormat="1" x14ac:dyDescent="0.3">
      <c r="D136" s="64"/>
      <c r="E136" s="64"/>
      <c r="F136" s="64"/>
    </row>
    <row r="137" spans="4:6" s="59" customFormat="1" x14ac:dyDescent="0.3">
      <c r="D137" s="64"/>
      <c r="E137" s="64"/>
      <c r="F137" s="64"/>
    </row>
    <row r="138" spans="4:6" s="59" customFormat="1" x14ac:dyDescent="0.3">
      <c r="D138" s="64"/>
      <c r="E138" s="64"/>
      <c r="F138" s="64"/>
    </row>
    <row r="139" spans="4:6" s="59" customFormat="1" x14ac:dyDescent="0.3">
      <c r="D139" s="64"/>
      <c r="E139" s="64"/>
      <c r="F139" s="64"/>
    </row>
    <row r="140" spans="4:6" s="59" customFormat="1" x14ac:dyDescent="0.3">
      <c r="D140" s="64"/>
      <c r="E140" s="64"/>
      <c r="F140" s="64"/>
    </row>
    <row r="141" spans="4:6" s="59" customFormat="1" x14ac:dyDescent="0.3">
      <c r="D141" s="64"/>
      <c r="E141" s="64"/>
      <c r="F141" s="64"/>
    </row>
    <row r="142" spans="4:6" s="59" customFormat="1" x14ac:dyDescent="0.3">
      <c r="D142" s="64"/>
      <c r="E142" s="64"/>
      <c r="F142" s="64"/>
    </row>
    <row r="143" spans="4:6" s="59" customFormat="1" x14ac:dyDescent="0.3">
      <c r="D143" s="64"/>
      <c r="E143" s="64"/>
      <c r="F143" s="64"/>
    </row>
    <row r="144" spans="4:6" s="59" customFormat="1" x14ac:dyDescent="0.3">
      <c r="D144" s="64"/>
      <c r="E144" s="64"/>
      <c r="F144" s="64"/>
    </row>
    <row r="145" spans="4:6" s="59" customFormat="1" x14ac:dyDescent="0.3">
      <c r="D145" s="64"/>
      <c r="E145" s="64"/>
      <c r="F145" s="64"/>
    </row>
    <row r="146" spans="4:6" s="59" customFormat="1" x14ac:dyDescent="0.3">
      <c r="D146" s="64"/>
      <c r="E146" s="64"/>
      <c r="F146" s="64"/>
    </row>
    <row r="147" spans="4:6" s="59" customFormat="1" x14ac:dyDescent="0.3">
      <c r="D147" s="64"/>
      <c r="E147" s="64"/>
      <c r="F147" s="64"/>
    </row>
    <row r="148" spans="4:6" s="59" customFormat="1" x14ac:dyDescent="0.3">
      <c r="D148" s="64"/>
      <c r="E148" s="64"/>
      <c r="F148" s="64"/>
    </row>
    <row r="149" spans="4:6" s="59" customFormat="1" x14ac:dyDescent="0.3">
      <c r="D149" s="64"/>
      <c r="E149" s="64"/>
      <c r="F149" s="64"/>
    </row>
    <row r="150" spans="4:6" s="59" customFormat="1" x14ac:dyDescent="0.3">
      <c r="D150" s="64"/>
      <c r="E150" s="64"/>
      <c r="F150" s="64"/>
    </row>
    <row r="151" spans="4:6" s="59" customFormat="1" x14ac:dyDescent="0.3">
      <c r="D151" s="64"/>
      <c r="E151" s="64"/>
      <c r="F151" s="64"/>
    </row>
    <row r="152" spans="4:6" s="59" customFormat="1" x14ac:dyDescent="0.3">
      <c r="D152" s="64"/>
      <c r="E152" s="64"/>
      <c r="F152" s="64"/>
    </row>
    <row r="153" spans="4:6" s="59" customFormat="1" x14ac:dyDescent="0.3">
      <c r="D153" s="64"/>
      <c r="E153" s="64"/>
      <c r="F153" s="64"/>
    </row>
    <row r="154" spans="4:6" s="59" customFormat="1" x14ac:dyDescent="0.3">
      <c r="D154" s="64"/>
      <c r="E154" s="64"/>
      <c r="F154" s="64"/>
    </row>
    <row r="155" spans="4:6" s="59" customFormat="1" x14ac:dyDescent="0.3">
      <c r="D155" s="64"/>
      <c r="E155" s="64"/>
      <c r="F155" s="64"/>
    </row>
    <row r="156" spans="4:6" s="59" customFormat="1" x14ac:dyDescent="0.3">
      <c r="D156" s="64"/>
      <c r="E156" s="64"/>
      <c r="F156" s="64"/>
    </row>
    <row r="157" spans="4:6" s="59" customFormat="1" x14ac:dyDescent="0.3">
      <c r="D157" s="64"/>
      <c r="E157" s="64"/>
      <c r="F157" s="64"/>
    </row>
    <row r="158" spans="4:6" s="59" customFormat="1" x14ac:dyDescent="0.3">
      <c r="D158" s="64"/>
      <c r="E158" s="64"/>
      <c r="F158" s="64"/>
    </row>
    <row r="159" spans="4:6" s="59" customFormat="1" x14ac:dyDescent="0.3">
      <c r="D159" s="64"/>
      <c r="E159" s="64"/>
      <c r="F159" s="64"/>
    </row>
    <row r="160" spans="4:6" s="59" customFormat="1" x14ac:dyDescent="0.3">
      <c r="D160" s="64"/>
      <c r="E160" s="64"/>
      <c r="F160" s="64"/>
    </row>
    <row r="161" spans="4:6" s="59" customFormat="1" x14ac:dyDescent="0.3">
      <c r="D161" s="64"/>
      <c r="E161" s="64"/>
      <c r="F161" s="64"/>
    </row>
    <row r="162" spans="4:6" s="59" customFormat="1" x14ac:dyDescent="0.3">
      <c r="D162" s="64"/>
      <c r="E162" s="64"/>
      <c r="F162" s="64"/>
    </row>
    <row r="163" spans="4:6" s="59" customFormat="1" x14ac:dyDescent="0.3">
      <c r="D163" s="64"/>
      <c r="E163" s="64"/>
      <c r="F163" s="64"/>
    </row>
    <row r="164" spans="4:6" s="59" customFormat="1" x14ac:dyDescent="0.3">
      <c r="D164" s="64"/>
      <c r="E164" s="64"/>
      <c r="F164" s="64"/>
    </row>
    <row r="165" spans="4:6" s="59" customFormat="1" x14ac:dyDescent="0.3">
      <c r="D165" s="64"/>
      <c r="E165" s="64"/>
      <c r="F165" s="64"/>
    </row>
    <row r="166" spans="4:6" s="59" customFormat="1" x14ac:dyDescent="0.3">
      <c r="D166" s="64"/>
      <c r="E166" s="64"/>
      <c r="F166" s="64"/>
    </row>
    <row r="167" spans="4:6" s="59" customFormat="1" x14ac:dyDescent="0.3">
      <c r="D167" s="64"/>
      <c r="E167" s="64"/>
      <c r="F167" s="64"/>
    </row>
    <row r="168" spans="4:6" s="59" customFormat="1" x14ac:dyDescent="0.3">
      <c r="D168" s="64"/>
      <c r="E168" s="64"/>
      <c r="F168" s="64"/>
    </row>
    <row r="169" spans="4:6" s="59" customFormat="1" x14ac:dyDescent="0.3">
      <c r="D169" s="64"/>
      <c r="E169" s="64"/>
      <c r="F169" s="64"/>
    </row>
    <row r="170" spans="4:6" s="59" customFormat="1" x14ac:dyDescent="0.3">
      <c r="D170" s="64"/>
      <c r="E170" s="64"/>
      <c r="F170" s="64"/>
    </row>
    <row r="171" spans="4:6" s="59" customFormat="1" x14ac:dyDescent="0.3">
      <c r="D171" s="64"/>
      <c r="E171" s="64"/>
      <c r="F171" s="64"/>
    </row>
    <row r="172" spans="4:6" s="59" customFormat="1" x14ac:dyDescent="0.3">
      <c r="D172" s="64"/>
      <c r="E172" s="64"/>
      <c r="F172" s="64"/>
    </row>
    <row r="173" spans="4:6" s="59" customFormat="1" x14ac:dyDescent="0.3">
      <c r="D173" s="64"/>
      <c r="E173" s="64"/>
      <c r="F173" s="64"/>
    </row>
    <row r="174" spans="4:6" s="59" customFormat="1" x14ac:dyDescent="0.3">
      <c r="D174" s="64"/>
      <c r="E174" s="64"/>
      <c r="F174" s="64"/>
    </row>
    <row r="175" spans="4:6" s="59" customFormat="1" x14ac:dyDescent="0.3">
      <c r="D175" s="64"/>
      <c r="E175" s="64"/>
      <c r="F175" s="64"/>
    </row>
    <row r="176" spans="4:6" s="59" customFormat="1" x14ac:dyDescent="0.3">
      <c r="D176" s="64"/>
      <c r="E176" s="64"/>
      <c r="F176" s="64"/>
    </row>
    <row r="177" spans="4:6" s="59" customFormat="1" x14ac:dyDescent="0.3">
      <c r="D177" s="64"/>
      <c r="E177" s="64"/>
      <c r="F177" s="64"/>
    </row>
    <row r="178" spans="4:6" s="59" customFormat="1" x14ac:dyDescent="0.3">
      <c r="D178" s="64"/>
      <c r="E178" s="64"/>
      <c r="F178" s="64"/>
    </row>
    <row r="179" spans="4:6" s="59" customFormat="1" x14ac:dyDescent="0.3">
      <c r="D179" s="64"/>
      <c r="E179" s="64"/>
      <c r="F179" s="64"/>
    </row>
    <row r="180" spans="4:6" s="59" customFormat="1" x14ac:dyDescent="0.3">
      <c r="D180" s="64"/>
      <c r="E180" s="64"/>
      <c r="F180" s="64"/>
    </row>
    <row r="181" spans="4:6" s="59" customFormat="1" x14ac:dyDescent="0.3">
      <c r="D181" s="64"/>
      <c r="E181" s="64"/>
      <c r="F181" s="64"/>
    </row>
    <row r="182" spans="4:6" s="59" customFormat="1" x14ac:dyDescent="0.3">
      <c r="D182" s="64"/>
      <c r="E182" s="64"/>
      <c r="F182" s="64"/>
    </row>
    <row r="183" spans="4:6" s="59" customFormat="1" x14ac:dyDescent="0.3">
      <c r="D183" s="64"/>
      <c r="E183" s="64"/>
      <c r="F183" s="64"/>
    </row>
    <row r="184" spans="4:6" s="59" customFormat="1" x14ac:dyDescent="0.3">
      <c r="D184" s="64"/>
      <c r="E184" s="64"/>
      <c r="F184" s="64"/>
    </row>
    <row r="185" spans="4:6" s="59" customFormat="1" x14ac:dyDescent="0.3">
      <c r="D185" s="64"/>
      <c r="E185" s="64"/>
      <c r="F185" s="64"/>
    </row>
    <row r="186" spans="4:6" s="59" customFormat="1" x14ac:dyDescent="0.3">
      <c r="D186" s="64"/>
      <c r="E186" s="64"/>
      <c r="F186" s="64"/>
    </row>
    <row r="187" spans="4:6" s="59" customFormat="1" x14ac:dyDescent="0.3">
      <c r="D187" s="64"/>
      <c r="E187" s="64"/>
      <c r="F187" s="64"/>
    </row>
    <row r="188" spans="4:6" s="59" customFormat="1" x14ac:dyDescent="0.3">
      <c r="D188" s="64"/>
      <c r="E188" s="64"/>
      <c r="F188" s="64"/>
    </row>
    <row r="189" spans="4:6" s="59" customFormat="1" x14ac:dyDescent="0.3">
      <c r="D189" s="64"/>
      <c r="E189" s="64"/>
      <c r="F189" s="64"/>
    </row>
    <row r="190" spans="4:6" s="59" customFormat="1" x14ac:dyDescent="0.3">
      <c r="D190" s="64"/>
      <c r="E190" s="64"/>
      <c r="F190" s="64"/>
    </row>
    <row r="191" spans="4:6" s="59" customFormat="1" x14ac:dyDescent="0.3">
      <c r="D191" s="64"/>
      <c r="E191" s="64"/>
      <c r="F191" s="64"/>
    </row>
    <row r="192" spans="4:6" s="59" customFormat="1" x14ac:dyDescent="0.3">
      <c r="D192" s="64"/>
      <c r="E192" s="64"/>
      <c r="F192" s="64"/>
    </row>
    <row r="193" spans="4:6" s="59" customFormat="1" x14ac:dyDescent="0.3">
      <c r="D193" s="64"/>
      <c r="E193" s="64"/>
      <c r="F193" s="64"/>
    </row>
    <row r="194" spans="4:6" s="59" customFormat="1" x14ac:dyDescent="0.3">
      <c r="D194" s="64"/>
      <c r="E194" s="64"/>
      <c r="F194" s="64"/>
    </row>
    <row r="195" spans="4:6" s="59" customFormat="1" x14ac:dyDescent="0.3">
      <c r="D195" s="64"/>
      <c r="E195" s="64"/>
      <c r="F195" s="64"/>
    </row>
    <row r="196" spans="4:6" s="59" customFormat="1" x14ac:dyDescent="0.3">
      <c r="D196" s="64"/>
      <c r="E196" s="64"/>
      <c r="F196" s="64"/>
    </row>
    <row r="197" spans="4:6" s="59" customFormat="1" x14ac:dyDescent="0.3">
      <c r="D197" s="64"/>
      <c r="E197" s="64"/>
      <c r="F197" s="64"/>
    </row>
    <row r="198" spans="4:6" s="59" customFormat="1" x14ac:dyDescent="0.3">
      <c r="D198" s="64"/>
      <c r="E198" s="64"/>
      <c r="F198" s="64"/>
    </row>
    <row r="199" spans="4:6" s="59" customFormat="1" x14ac:dyDescent="0.3">
      <c r="D199" s="64"/>
      <c r="E199" s="64"/>
      <c r="F199" s="64"/>
    </row>
    <row r="200" spans="4:6" s="59" customFormat="1" x14ac:dyDescent="0.3">
      <c r="D200" s="64"/>
      <c r="E200" s="64"/>
      <c r="F200" s="64"/>
    </row>
    <row r="201" spans="4:6" s="59" customFormat="1" x14ac:dyDescent="0.3">
      <c r="D201" s="64"/>
      <c r="E201" s="64"/>
      <c r="F201" s="64"/>
    </row>
    <row r="202" spans="4:6" s="59" customFormat="1" x14ac:dyDescent="0.3">
      <c r="D202" s="64"/>
      <c r="E202" s="64"/>
      <c r="F202" s="64"/>
    </row>
    <row r="203" spans="4:6" s="59" customFormat="1" x14ac:dyDescent="0.3">
      <c r="D203" s="64"/>
      <c r="E203" s="64"/>
      <c r="F203" s="64"/>
    </row>
    <row r="204" spans="4:6" s="59" customFormat="1" x14ac:dyDescent="0.3">
      <c r="D204" s="64"/>
      <c r="E204" s="64"/>
      <c r="F204" s="64"/>
    </row>
    <row r="205" spans="4:6" s="59" customFormat="1" x14ac:dyDescent="0.3">
      <c r="D205" s="64"/>
      <c r="E205" s="64"/>
      <c r="F205" s="64"/>
    </row>
    <row r="206" spans="4:6" s="59" customFormat="1" x14ac:dyDescent="0.3">
      <c r="D206" s="64"/>
      <c r="E206" s="64"/>
      <c r="F206" s="64"/>
    </row>
    <row r="207" spans="4:6" s="59" customFormat="1" x14ac:dyDescent="0.3">
      <c r="D207" s="64"/>
      <c r="E207" s="64"/>
      <c r="F207" s="64"/>
    </row>
    <row r="208" spans="4:6" s="59" customFormat="1" x14ac:dyDescent="0.3">
      <c r="D208" s="64"/>
      <c r="E208" s="64"/>
      <c r="F208" s="64"/>
    </row>
    <row r="209" spans="4:6" s="59" customFormat="1" x14ac:dyDescent="0.3">
      <c r="D209" s="64"/>
      <c r="E209" s="64"/>
      <c r="F209" s="64"/>
    </row>
    <row r="210" spans="4:6" s="59" customFormat="1" x14ac:dyDescent="0.3">
      <c r="D210" s="64"/>
      <c r="E210" s="64"/>
      <c r="F210" s="64"/>
    </row>
    <row r="211" spans="4:6" s="59" customFormat="1" x14ac:dyDescent="0.3">
      <c r="D211" s="64"/>
      <c r="E211" s="64"/>
      <c r="F211" s="64"/>
    </row>
    <row r="212" spans="4:6" s="59" customFormat="1" x14ac:dyDescent="0.3">
      <c r="D212" s="64"/>
      <c r="E212" s="64"/>
      <c r="F212" s="64"/>
    </row>
    <row r="213" spans="4:6" s="59" customFormat="1" x14ac:dyDescent="0.3">
      <c r="D213" s="64"/>
      <c r="E213" s="64"/>
      <c r="F213" s="64"/>
    </row>
    <row r="214" spans="4:6" s="59" customFormat="1" x14ac:dyDescent="0.3">
      <c r="D214" s="64"/>
      <c r="E214" s="64"/>
      <c r="F214" s="64"/>
    </row>
    <row r="215" spans="4:6" s="59" customFormat="1" x14ac:dyDescent="0.3">
      <c r="D215" s="64"/>
      <c r="E215" s="64"/>
      <c r="F215" s="64"/>
    </row>
    <row r="216" spans="4:6" s="59" customFormat="1" x14ac:dyDescent="0.3">
      <c r="D216" s="64"/>
      <c r="E216" s="64"/>
      <c r="F216" s="64"/>
    </row>
    <row r="217" spans="4:6" s="59" customFormat="1" x14ac:dyDescent="0.3">
      <c r="D217" s="64"/>
      <c r="E217" s="64"/>
      <c r="F217" s="64"/>
    </row>
    <row r="218" spans="4:6" s="59" customFormat="1" x14ac:dyDescent="0.3">
      <c r="D218" s="64"/>
      <c r="E218" s="64"/>
      <c r="F218" s="64"/>
    </row>
    <row r="219" spans="4:6" s="59" customFormat="1" x14ac:dyDescent="0.3">
      <c r="D219" s="64"/>
      <c r="E219" s="64"/>
      <c r="F219" s="64"/>
    </row>
    <row r="220" spans="4:6" s="59" customFormat="1" x14ac:dyDescent="0.3">
      <c r="D220" s="64"/>
      <c r="E220" s="64"/>
      <c r="F220" s="64"/>
    </row>
    <row r="221" spans="4:6" s="59" customFormat="1" x14ac:dyDescent="0.3">
      <c r="D221" s="64"/>
      <c r="E221" s="64"/>
      <c r="F221" s="64"/>
    </row>
    <row r="222" spans="4:6" s="59" customFormat="1" x14ac:dyDescent="0.3">
      <c r="D222" s="64"/>
      <c r="E222" s="64"/>
      <c r="F222" s="64"/>
    </row>
    <row r="223" spans="4:6" s="59" customFormat="1" x14ac:dyDescent="0.3">
      <c r="D223" s="64"/>
      <c r="E223" s="64"/>
      <c r="F223" s="64"/>
    </row>
    <row r="224" spans="4:6" s="59" customFormat="1" x14ac:dyDescent="0.3">
      <c r="D224" s="64"/>
      <c r="E224" s="64"/>
      <c r="F224" s="64"/>
    </row>
    <row r="225" spans="4:6" s="59" customFormat="1" x14ac:dyDescent="0.3">
      <c r="D225" s="64"/>
      <c r="E225" s="64"/>
      <c r="F225" s="64"/>
    </row>
    <row r="226" spans="4:6" s="59" customFormat="1" x14ac:dyDescent="0.3">
      <c r="D226" s="64"/>
      <c r="E226" s="64"/>
      <c r="F226" s="64"/>
    </row>
    <row r="227" spans="4:6" s="59" customFormat="1" x14ac:dyDescent="0.3">
      <c r="D227" s="64"/>
      <c r="E227" s="64"/>
      <c r="F227" s="64"/>
    </row>
    <row r="228" spans="4:6" s="59" customFormat="1" x14ac:dyDescent="0.3">
      <c r="D228" s="64"/>
      <c r="E228" s="64"/>
      <c r="F228" s="64"/>
    </row>
    <row r="229" spans="4:6" s="59" customFormat="1" x14ac:dyDescent="0.3">
      <c r="D229" s="64"/>
      <c r="E229" s="64"/>
      <c r="F229" s="64"/>
    </row>
    <row r="230" spans="4:6" s="59" customFormat="1" x14ac:dyDescent="0.3">
      <c r="D230" s="64"/>
      <c r="E230" s="64"/>
      <c r="F230" s="64"/>
    </row>
  </sheetData>
  <mergeCells count="34"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G1:H1"/>
    <mergeCell ref="I1:L1"/>
    <mergeCell ref="G2:H2"/>
    <mergeCell ref="I2:L2"/>
    <mergeCell ref="B3:D3"/>
    <mergeCell ref="E3:F3"/>
    <mergeCell ref="G3:H3"/>
    <mergeCell ref="I3:L3"/>
  </mergeCells>
  <pageMargins left="0.75" right="0.75" top="1" bottom="1" header="0.5" footer="0.5"/>
  <pageSetup scale="70" fitToWidth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81"/>
  <sheetViews>
    <sheetView zoomScale="120" workbookViewId="0">
      <pane ySplit="1" topLeftCell="A2" activePane="bottomLeft" state="frozen"/>
      <selection pane="bottomLeft" activeCell="B83" sqref="B83"/>
    </sheetView>
  </sheetViews>
  <sheetFormatPr defaultColWidth="8.6640625" defaultRowHeight="14.4" x14ac:dyDescent="0.3"/>
  <cols>
    <col min="1" max="1" width="26.44140625" customWidth="1"/>
    <col min="2" max="2" width="15.44140625" style="7" customWidth="1"/>
    <col min="3" max="3" width="16.44140625" style="7" customWidth="1"/>
    <col min="4" max="7" width="21.44140625" style="7" customWidth="1"/>
    <col min="8" max="9" width="12.44140625" style="7" customWidth="1"/>
    <col min="10" max="10" width="18.44140625" customWidth="1"/>
  </cols>
  <sheetData>
    <row r="1" spans="1:10" s="23" customFormat="1" ht="23.4" customHeight="1" x14ac:dyDescent="0.3">
      <c r="A1" s="163" t="s">
        <v>41</v>
      </c>
      <c r="B1" s="163" t="s">
        <v>17</v>
      </c>
      <c r="C1" s="163" t="s">
        <v>103</v>
      </c>
      <c r="D1" s="163" t="s">
        <v>104</v>
      </c>
      <c r="E1" s="163" t="s">
        <v>105</v>
      </c>
      <c r="F1" s="163" t="s">
        <v>107</v>
      </c>
      <c r="G1" s="163" t="s">
        <v>109</v>
      </c>
      <c r="H1" s="34"/>
      <c r="I1" s="34"/>
    </row>
    <row r="2" spans="1:10" x14ac:dyDescent="0.3">
      <c r="A2" s="19" t="s">
        <v>55</v>
      </c>
      <c r="B2" s="417">
        <v>0.17599999999999999</v>
      </c>
      <c r="C2" s="417">
        <v>0.21200000000000002</v>
      </c>
      <c r="D2" s="417">
        <v>0.20140000000000002</v>
      </c>
      <c r="E2" s="417">
        <v>0.20140000000000002</v>
      </c>
      <c r="F2" s="417">
        <v>0.20140000000000002</v>
      </c>
      <c r="G2" s="417">
        <v>0.20140000000000002</v>
      </c>
      <c r="H2" s="36"/>
      <c r="I2" s="35"/>
    </row>
    <row r="3" spans="1:10" x14ac:dyDescent="0.3">
      <c r="A3" s="19" t="s">
        <v>413</v>
      </c>
      <c r="B3" s="417">
        <v>0.24199999999999999</v>
      </c>
      <c r="C3" s="417">
        <v>0.27560000000000001</v>
      </c>
      <c r="D3" s="417">
        <v>0.26500000000000001</v>
      </c>
      <c r="E3" s="417">
        <v>0.26500000000000001</v>
      </c>
      <c r="F3" s="417">
        <v>0.26500000000000001</v>
      </c>
      <c r="G3" s="417">
        <v>0.26500000000000001</v>
      </c>
      <c r="H3" s="36"/>
      <c r="I3" s="35"/>
    </row>
    <row r="4" spans="1:10" x14ac:dyDescent="0.3">
      <c r="A4" s="19" t="s">
        <v>414</v>
      </c>
      <c r="B4" s="417">
        <v>0.19800000000000001</v>
      </c>
      <c r="C4" s="417">
        <v>0.23320000000000002</v>
      </c>
      <c r="D4" s="417">
        <v>0.22259999999999999</v>
      </c>
      <c r="E4" s="417">
        <v>0.22259999999999999</v>
      </c>
      <c r="F4" s="417">
        <v>0.22259999999999999</v>
      </c>
      <c r="G4" s="417">
        <v>0.22259999999999999</v>
      </c>
      <c r="H4" s="36"/>
      <c r="I4" s="35"/>
      <c r="J4" t="s">
        <v>29</v>
      </c>
    </row>
    <row r="5" spans="1:10" x14ac:dyDescent="0.3">
      <c r="A5" s="19" t="s">
        <v>415</v>
      </c>
      <c r="B5" s="417">
        <v>0.46200000000000002</v>
      </c>
      <c r="C5" s="417">
        <v>0.47699999999999998</v>
      </c>
      <c r="D5" s="417">
        <v>0.46640000000000004</v>
      </c>
      <c r="E5" s="417">
        <v>0.46640000000000004</v>
      </c>
      <c r="F5" s="417">
        <v>0.46640000000000004</v>
      </c>
      <c r="G5" s="417">
        <v>0.46640000000000004</v>
      </c>
      <c r="H5" s="36"/>
      <c r="I5" s="35"/>
      <c r="J5" t="s">
        <v>416</v>
      </c>
    </row>
    <row r="6" spans="1:10" x14ac:dyDescent="0.3">
      <c r="A6" s="19" t="s">
        <v>417</v>
      </c>
      <c r="B6" s="417">
        <v>0.16500000000000001</v>
      </c>
      <c r="C6" s="417">
        <v>0.159</v>
      </c>
      <c r="D6" s="417">
        <v>0.159</v>
      </c>
      <c r="E6" s="417">
        <v>0.159</v>
      </c>
      <c r="F6" s="417">
        <v>0.159</v>
      </c>
      <c r="G6" s="417">
        <v>0.159</v>
      </c>
      <c r="H6" s="36"/>
      <c r="I6" s="35"/>
    </row>
    <row r="7" spans="1:10" x14ac:dyDescent="0.3">
      <c r="A7" s="19" t="s">
        <v>418</v>
      </c>
      <c r="B7" s="417">
        <v>0.16500000000000001</v>
      </c>
      <c r="C7" s="417">
        <v>0.159</v>
      </c>
      <c r="D7" s="417">
        <v>0.159</v>
      </c>
      <c r="E7" s="417">
        <v>0.159</v>
      </c>
      <c r="F7" s="417">
        <v>0.159</v>
      </c>
      <c r="G7" s="417">
        <v>0.159</v>
      </c>
      <c r="H7" s="36"/>
      <c r="I7" s="35"/>
    </row>
    <row r="8" spans="1:10" x14ac:dyDescent="0.3">
      <c r="A8" s="19" t="s">
        <v>419</v>
      </c>
      <c r="B8" s="417">
        <v>0.24199999999999999</v>
      </c>
      <c r="C8" s="417">
        <v>0.26500000000000001</v>
      </c>
      <c r="D8" s="417">
        <v>0.23320000000000002</v>
      </c>
      <c r="E8" s="417">
        <v>0.25440000000000002</v>
      </c>
      <c r="F8" s="417">
        <v>0.23320000000000002</v>
      </c>
      <c r="G8" s="417">
        <v>0.23320000000000002</v>
      </c>
      <c r="H8" s="36"/>
      <c r="I8" s="35"/>
    </row>
    <row r="9" spans="1:10" x14ac:dyDescent="0.3">
      <c r="A9" s="19" t="s">
        <v>421</v>
      </c>
      <c r="B9" s="417">
        <v>0.27500000000000002</v>
      </c>
      <c r="C9" s="417">
        <v>0.28620000000000001</v>
      </c>
      <c r="D9" s="417">
        <v>0.26500000000000001</v>
      </c>
      <c r="E9" s="417">
        <v>0.28620000000000001</v>
      </c>
      <c r="F9" s="417">
        <v>0.26500000000000001</v>
      </c>
      <c r="G9" s="417">
        <v>0.26500000000000001</v>
      </c>
      <c r="H9" s="36"/>
      <c r="I9" s="35"/>
    </row>
    <row r="10" spans="1:10" x14ac:dyDescent="0.3">
      <c r="A10" s="19" t="s">
        <v>423</v>
      </c>
      <c r="B10" s="417">
        <v>0.20399999999999999</v>
      </c>
      <c r="C10" s="417">
        <v>0.1961</v>
      </c>
      <c r="D10" s="417">
        <v>0.1961</v>
      </c>
      <c r="E10" s="417">
        <v>0.1961</v>
      </c>
      <c r="F10" s="417">
        <v>0.1961</v>
      </c>
      <c r="G10" s="417">
        <v>0.1961</v>
      </c>
      <c r="H10" s="36"/>
      <c r="I10" s="35"/>
    </row>
    <row r="11" spans="1:10" x14ac:dyDescent="0.3">
      <c r="A11" s="19" t="s">
        <v>426</v>
      </c>
      <c r="B11" s="417">
        <v>0.193</v>
      </c>
      <c r="C11" s="417">
        <v>0.23320000000000002</v>
      </c>
      <c r="D11" s="417">
        <v>0.22259999999999999</v>
      </c>
      <c r="E11" s="417">
        <v>0.23320000000000002</v>
      </c>
      <c r="F11" s="417">
        <v>0.21729999999999999</v>
      </c>
      <c r="G11" s="417">
        <v>0.21729999999999999</v>
      </c>
      <c r="H11" s="36"/>
      <c r="I11" s="35"/>
    </row>
    <row r="12" spans="1:10" x14ac:dyDescent="0.3">
      <c r="A12" s="19" t="s">
        <v>427</v>
      </c>
      <c r="B12" s="417">
        <v>0.33</v>
      </c>
      <c r="C12" s="417">
        <v>0.318</v>
      </c>
      <c r="D12" s="417">
        <v>0.318</v>
      </c>
      <c r="E12" s="417">
        <v>0.318</v>
      </c>
      <c r="F12" s="417">
        <v>0.318</v>
      </c>
      <c r="G12" s="417">
        <v>0.318</v>
      </c>
      <c r="H12" s="36"/>
      <c r="I12" s="35"/>
    </row>
    <row r="13" spans="1:10" x14ac:dyDescent="0.3">
      <c r="A13" s="19" t="s">
        <v>428</v>
      </c>
      <c r="B13" s="417">
        <v>0.16500000000000001</v>
      </c>
      <c r="C13" s="417">
        <v>0.159</v>
      </c>
      <c r="D13" s="417">
        <v>0.159</v>
      </c>
      <c r="E13" s="417">
        <v>0.159</v>
      </c>
      <c r="F13" s="417">
        <v>0.159</v>
      </c>
      <c r="G13" s="417">
        <v>0.159</v>
      </c>
      <c r="H13" s="36"/>
      <c r="I13" s="35"/>
    </row>
    <row r="14" spans="1:10" x14ac:dyDescent="0.3">
      <c r="A14" s="19" t="s">
        <v>429</v>
      </c>
      <c r="B14" s="417">
        <v>0.17599999999999999</v>
      </c>
      <c r="C14" s="417">
        <v>0.1696</v>
      </c>
      <c r="D14" s="417">
        <v>0.1696</v>
      </c>
      <c r="E14" s="417">
        <v>0.1696</v>
      </c>
      <c r="F14" s="417">
        <v>0.1696</v>
      </c>
      <c r="G14" s="417">
        <v>0.1696</v>
      </c>
      <c r="H14" s="36"/>
      <c r="I14" s="35"/>
    </row>
    <row r="15" spans="1:10" x14ac:dyDescent="0.3">
      <c r="A15" s="19" t="s">
        <v>430</v>
      </c>
      <c r="B15" s="417">
        <v>0.22</v>
      </c>
      <c r="C15" s="417">
        <v>0.21200000000000002</v>
      </c>
      <c r="D15" s="417">
        <v>0.21200000000000002</v>
      </c>
      <c r="E15" s="417">
        <v>0.21200000000000002</v>
      </c>
      <c r="F15" s="417">
        <v>0.21200000000000002</v>
      </c>
      <c r="G15" s="417">
        <v>0.21200000000000002</v>
      </c>
      <c r="H15" s="36"/>
      <c r="I15" s="35"/>
    </row>
    <row r="16" spans="1:10" x14ac:dyDescent="0.3">
      <c r="A16" s="19" t="s">
        <v>431</v>
      </c>
      <c r="B16" s="417">
        <v>0.88</v>
      </c>
      <c r="C16" s="417">
        <v>0.84800000000000009</v>
      </c>
      <c r="D16" s="417">
        <v>0.84800000000000009</v>
      </c>
      <c r="E16" s="417">
        <v>0.84800000000000009</v>
      </c>
      <c r="F16" s="417">
        <v>0.84800000000000009</v>
      </c>
      <c r="G16" s="417">
        <v>0.84800000000000009</v>
      </c>
      <c r="H16" s="36"/>
      <c r="I16" s="35"/>
    </row>
    <row r="17" spans="1:10" x14ac:dyDescent="0.3">
      <c r="A17" s="19" t="s">
        <v>432</v>
      </c>
      <c r="B17" s="417">
        <v>0.27500000000000002</v>
      </c>
      <c r="C17" s="417">
        <v>0.28620000000000001</v>
      </c>
      <c r="D17" s="417">
        <v>0.26500000000000001</v>
      </c>
      <c r="E17" s="417">
        <v>0.28620000000000001</v>
      </c>
      <c r="F17" s="417">
        <v>0.26500000000000001</v>
      </c>
      <c r="G17" s="417">
        <v>0.26500000000000001</v>
      </c>
      <c r="H17" s="36"/>
      <c r="I17" s="35"/>
    </row>
    <row r="18" spans="1:10" x14ac:dyDescent="0.3">
      <c r="A18" s="19" t="s">
        <v>433</v>
      </c>
      <c r="B18" s="417">
        <v>0.11</v>
      </c>
      <c r="C18" s="417">
        <v>0.10600000000000001</v>
      </c>
      <c r="D18" s="417">
        <v>0.10600000000000001</v>
      </c>
      <c r="E18" s="417">
        <v>0.10600000000000001</v>
      </c>
      <c r="F18" s="417">
        <v>0.10600000000000001</v>
      </c>
      <c r="G18" s="417">
        <v>0.10600000000000001</v>
      </c>
      <c r="H18" s="36"/>
      <c r="I18" s="35"/>
    </row>
    <row r="19" spans="1:10" x14ac:dyDescent="0.3">
      <c r="A19" s="19" t="s">
        <v>435</v>
      </c>
      <c r="B19" s="418">
        <v>0.20399999999999999</v>
      </c>
      <c r="C19" s="418">
        <v>0.185</v>
      </c>
      <c r="D19" s="418">
        <v>0.185</v>
      </c>
      <c r="E19" s="418">
        <v>0.185</v>
      </c>
      <c r="F19" s="418">
        <v>0.185</v>
      </c>
      <c r="G19" s="418">
        <v>0.185</v>
      </c>
      <c r="H19" s="36"/>
      <c r="I19" s="35"/>
    </row>
    <row r="20" spans="1:10" x14ac:dyDescent="0.3">
      <c r="A20" s="19" t="s">
        <v>436</v>
      </c>
      <c r="B20" s="418">
        <v>0.20399999999999999</v>
      </c>
      <c r="C20" s="418">
        <v>0.185</v>
      </c>
      <c r="D20" s="418">
        <v>0.185</v>
      </c>
      <c r="E20" s="418">
        <v>0.185</v>
      </c>
      <c r="F20" s="418">
        <v>0.185</v>
      </c>
      <c r="G20" s="418">
        <v>0.185</v>
      </c>
      <c r="H20" s="36"/>
      <c r="I20" s="35"/>
    </row>
    <row r="21" spans="1:10" x14ac:dyDescent="0.3">
      <c r="A21" s="19" t="s">
        <v>437</v>
      </c>
      <c r="B21" s="417">
        <v>0.33</v>
      </c>
      <c r="C21" s="417">
        <v>0.318</v>
      </c>
      <c r="D21" s="417">
        <v>0.318</v>
      </c>
      <c r="E21" s="417">
        <v>0.318</v>
      </c>
      <c r="F21" s="417">
        <v>0.28620000000000001</v>
      </c>
      <c r="G21" s="417">
        <v>0.28620000000000001</v>
      </c>
      <c r="H21" s="36"/>
      <c r="I21" s="35"/>
    </row>
    <row r="22" spans="1:10" x14ac:dyDescent="0.3">
      <c r="A22" s="19" t="s">
        <v>438</v>
      </c>
      <c r="B22" s="417">
        <v>0.308</v>
      </c>
      <c r="C22" s="417">
        <v>0.29680000000000006</v>
      </c>
      <c r="D22" s="417">
        <v>0.28620000000000001</v>
      </c>
      <c r="E22" s="417">
        <v>0.29680000000000006</v>
      </c>
      <c r="F22" s="417">
        <v>0.26500000000000001</v>
      </c>
      <c r="G22" s="417">
        <v>0.26500000000000001</v>
      </c>
      <c r="H22" s="36"/>
      <c r="I22" s="35"/>
      <c r="J22" t="s">
        <v>434</v>
      </c>
    </row>
    <row r="23" spans="1:10" x14ac:dyDescent="0.3">
      <c r="A23" s="19" t="s">
        <v>439</v>
      </c>
      <c r="B23" s="417">
        <v>0.308</v>
      </c>
      <c r="C23" s="417">
        <v>0.29680000000000006</v>
      </c>
      <c r="D23" s="417">
        <v>0.318</v>
      </c>
      <c r="E23" s="417">
        <v>0.29680000000000006</v>
      </c>
      <c r="F23" s="417">
        <v>0.29680000000000006</v>
      </c>
      <c r="G23" s="417">
        <v>0.3286</v>
      </c>
      <c r="H23" s="36"/>
      <c r="I23" s="35"/>
    </row>
    <row r="24" spans="1:10" x14ac:dyDescent="0.3">
      <c r="A24" s="19" t="s">
        <v>440</v>
      </c>
      <c r="B24" s="417">
        <v>0.308</v>
      </c>
      <c r="C24" s="417">
        <v>0.318</v>
      </c>
      <c r="D24" s="417">
        <v>0.29680000000000006</v>
      </c>
      <c r="E24" s="417">
        <v>0.318</v>
      </c>
      <c r="F24" s="417">
        <v>0.29680000000000006</v>
      </c>
      <c r="G24" s="417">
        <v>0.29680000000000006</v>
      </c>
      <c r="H24" s="36"/>
      <c r="I24" s="35"/>
    </row>
    <row r="25" spans="1:10" x14ac:dyDescent="0.3">
      <c r="A25" s="19" t="s">
        <v>441</v>
      </c>
      <c r="B25" s="417">
        <v>0.33</v>
      </c>
      <c r="C25" s="417">
        <v>0.318</v>
      </c>
      <c r="D25" s="417">
        <v>0.318</v>
      </c>
      <c r="E25" s="417">
        <v>0.318</v>
      </c>
      <c r="F25" s="417">
        <v>0.318</v>
      </c>
      <c r="G25" s="417">
        <v>0.318</v>
      </c>
      <c r="H25" s="36"/>
      <c r="I25" s="35"/>
    </row>
    <row r="26" spans="1:10" x14ac:dyDescent="0.3">
      <c r="A26" s="19" t="s">
        <v>442</v>
      </c>
      <c r="B26" s="417">
        <v>0.19800000000000001</v>
      </c>
      <c r="C26" s="417">
        <v>0.1908</v>
      </c>
      <c r="D26" s="417">
        <v>0.1908</v>
      </c>
      <c r="E26" s="417">
        <v>0.1908</v>
      </c>
      <c r="F26" s="417">
        <v>0.1908</v>
      </c>
      <c r="G26" s="417">
        <v>0.1908</v>
      </c>
      <c r="H26" s="36"/>
      <c r="I26" s="35"/>
    </row>
    <row r="27" spans="1:10" x14ac:dyDescent="0.3">
      <c r="A27" s="19" t="s">
        <v>443</v>
      </c>
      <c r="B27" s="417">
        <v>0.38500000000000001</v>
      </c>
      <c r="C27" s="417">
        <v>0.371</v>
      </c>
      <c r="D27" s="417">
        <v>0.371</v>
      </c>
      <c r="E27" s="417">
        <v>0.371</v>
      </c>
      <c r="F27" s="417">
        <v>0.371</v>
      </c>
      <c r="G27" s="417">
        <v>0.371</v>
      </c>
      <c r="H27" s="36"/>
      <c r="I27" s="35"/>
    </row>
    <row r="28" spans="1:10" x14ac:dyDescent="0.3">
      <c r="A28" s="19" t="s">
        <v>444</v>
      </c>
      <c r="B28" s="417">
        <v>0.27500000000000002</v>
      </c>
      <c r="C28" s="417">
        <v>0.26500000000000001</v>
      </c>
      <c r="D28" s="417">
        <v>0.26500000000000001</v>
      </c>
      <c r="E28" s="417">
        <v>0.26500000000000001</v>
      </c>
      <c r="F28" s="417">
        <v>0.26500000000000001</v>
      </c>
      <c r="G28" s="417">
        <v>0.26500000000000001</v>
      </c>
      <c r="H28" s="36"/>
      <c r="I28" s="35"/>
    </row>
    <row r="29" spans="1:10" x14ac:dyDescent="0.3">
      <c r="A29" s="19" t="s">
        <v>445</v>
      </c>
      <c r="B29" s="417">
        <v>0.71499999999999997</v>
      </c>
      <c r="C29" s="417">
        <v>1.06</v>
      </c>
      <c r="D29" s="417">
        <v>0.79500000000000004</v>
      </c>
      <c r="E29" s="417">
        <v>0.90100000000000002</v>
      </c>
      <c r="F29" s="417">
        <v>0.79500000000000004</v>
      </c>
      <c r="G29" s="417">
        <v>0.79500000000000004</v>
      </c>
      <c r="H29" s="36"/>
      <c r="I29" s="35"/>
    </row>
    <row r="30" spans="1:10" x14ac:dyDescent="0.3">
      <c r="A30" s="19" t="s">
        <v>446</v>
      </c>
      <c r="B30" s="417">
        <v>0.308</v>
      </c>
      <c r="C30" s="417">
        <v>0.47700000000000004</v>
      </c>
      <c r="D30" s="417">
        <v>0.42400000000000004</v>
      </c>
      <c r="E30" s="417">
        <v>0.47700000000000004</v>
      </c>
      <c r="F30" s="417">
        <v>0.47700000000000004</v>
      </c>
      <c r="G30" s="417">
        <v>0.47700000000000004</v>
      </c>
      <c r="H30" s="36"/>
      <c r="I30" s="35"/>
    </row>
    <row r="31" spans="1:10" x14ac:dyDescent="0.3">
      <c r="A31" s="19" t="s">
        <v>447</v>
      </c>
      <c r="B31" s="417">
        <v>0.308</v>
      </c>
      <c r="C31" s="417">
        <v>0.3392</v>
      </c>
      <c r="D31" s="417">
        <v>0.29680000000000006</v>
      </c>
      <c r="E31" s="417">
        <v>0.29680000000000006</v>
      </c>
      <c r="F31" s="417">
        <v>0.29680000000000006</v>
      </c>
      <c r="G31" s="417">
        <v>0.318</v>
      </c>
      <c r="H31" s="36"/>
      <c r="I31" s="35"/>
    </row>
    <row r="32" spans="1:10" x14ac:dyDescent="0.3">
      <c r="A32" s="19" t="s">
        <v>448</v>
      </c>
      <c r="B32" s="418">
        <v>0.60499999999999998</v>
      </c>
      <c r="C32" s="417">
        <v>0.65</v>
      </c>
      <c r="D32" s="417">
        <v>0.6</v>
      </c>
      <c r="E32" s="417">
        <v>0.6</v>
      </c>
      <c r="F32" s="417">
        <v>0.55000000000000004</v>
      </c>
      <c r="G32" s="417">
        <v>0.55000000000000004</v>
      </c>
      <c r="H32" s="36"/>
      <c r="I32" s="35"/>
    </row>
    <row r="33" spans="1:9" x14ac:dyDescent="0.3">
      <c r="A33" s="19" t="s">
        <v>449</v>
      </c>
      <c r="B33" s="417">
        <v>1.1000000000000001</v>
      </c>
      <c r="C33" s="417">
        <v>0.90100000000000002</v>
      </c>
      <c r="D33" s="417">
        <v>0.74199999999999999</v>
      </c>
      <c r="E33" s="417">
        <v>0.90100000000000002</v>
      </c>
      <c r="F33" s="417">
        <v>0.63600000000000001</v>
      </c>
      <c r="G33" s="417">
        <v>0.63600000000000001</v>
      </c>
      <c r="H33" s="36"/>
      <c r="I33" s="35"/>
    </row>
    <row r="34" spans="1:9" x14ac:dyDescent="0.3">
      <c r="A34" s="19" t="s">
        <v>450</v>
      </c>
      <c r="B34" s="417">
        <v>0.308</v>
      </c>
      <c r="C34" s="417">
        <v>0.29680000000000006</v>
      </c>
      <c r="D34" s="417">
        <v>0.29680000000000006</v>
      </c>
      <c r="E34" s="417">
        <v>0.29680000000000006</v>
      </c>
      <c r="F34" s="417">
        <v>0.29680000000000006</v>
      </c>
      <c r="G34" s="417">
        <v>0.29680000000000006</v>
      </c>
      <c r="H34" s="36"/>
      <c r="I34" s="35"/>
    </row>
    <row r="35" spans="1:9" x14ac:dyDescent="0.3">
      <c r="A35" s="19" t="s">
        <v>451</v>
      </c>
      <c r="B35" s="417">
        <v>0.16500000000000001</v>
      </c>
      <c r="C35" s="417">
        <v>0.159</v>
      </c>
      <c r="D35" s="417">
        <v>0.159</v>
      </c>
      <c r="E35" s="417">
        <v>0.159</v>
      </c>
      <c r="F35" s="417">
        <v>0.159</v>
      </c>
      <c r="G35" s="417">
        <v>0.159</v>
      </c>
      <c r="H35" s="36"/>
      <c r="I35" s="35"/>
    </row>
    <row r="36" spans="1:9" x14ac:dyDescent="0.3">
      <c r="A36" s="19" t="s">
        <v>452</v>
      </c>
      <c r="B36" s="417">
        <v>0.308</v>
      </c>
      <c r="C36" s="417">
        <v>0.318</v>
      </c>
      <c r="D36" s="417">
        <v>0.29680000000000006</v>
      </c>
      <c r="E36" s="417">
        <v>0.318</v>
      </c>
      <c r="F36" s="417">
        <v>0.29680000000000006</v>
      </c>
      <c r="G36" s="417">
        <v>0.29680000000000006</v>
      </c>
      <c r="H36" s="36"/>
      <c r="I36" s="35"/>
    </row>
    <row r="37" spans="1:9" x14ac:dyDescent="0.3">
      <c r="A37" s="19" t="s">
        <v>453</v>
      </c>
      <c r="B37" s="417">
        <v>0.33</v>
      </c>
      <c r="C37" s="417">
        <v>0.318</v>
      </c>
      <c r="D37" s="417">
        <v>0.318</v>
      </c>
      <c r="E37" s="417">
        <v>0.318</v>
      </c>
      <c r="F37" s="417">
        <v>0.3498</v>
      </c>
      <c r="G37" s="417">
        <v>0.318</v>
      </c>
      <c r="H37" s="36"/>
      <c r="I37" s="35"/>
    </row>
    <row r="38" spans="1:9" x14ac:dyDescent="0.3">
      <c r="A38" s="19" t="s">
        <v>454</v>
      </c>
      <c r="B38" s="417">
        <v>7.6999999999999999E-2</v>
      </c>
      <c r="C38" s="417">
        <v>7.4200000000000016E-2</v>
      </c>
      <c r="D38" s="417">
        <v>7.4200000000000016E-2</v>
      </c>
      <c r="E38" s="417">
        <v>7.4200000000000016E-2</v>
      </c>
      <c r="F38" s="417">
        <v>7.4200000000000016E-2</v>
      </c>
      <c r="G38" s="417">
        <v>7.4200000000000016E-2</v>
      </c>
      <c r="H38" s="36"/>
      <c r="I38" s="35"/>
    </row>
    <row r="39" spans="1:9" x14ac:dyDescent="0.3">
      <c r="A39" s="19" t="s">
        <v>455</v>
      </c>
      <c r="B39" s="417">
        <v>0.55000000000000004</v>
      </c>
      <c r="C39" s="417">
        <v>0.68900000000000006</v>
      </c>
      <c r="D39" s="417">
        <v>0.58300000000000007</v>
      </c>
      <c r="E39" s="417">
        <v>0.63600000000000001</v>
      </c>
      <c r="F39" s="417">
        <v>0.63600000000000001</v>
      </c>
      <c r="G39" s="417">
        <v>0.58300000000000007</v>
      </c>
      <c r="H39" s="36"/>
      <c r="I39" s="35"/>
    </row>
    <row r="40" spans="1:9" x14ac:dyDescent="0.3">
      <c r="A40" s="19" t="s">
        <v>456</v>
      </c>
      <c r="B40" s="417">
        <v>0.82499999999999996</v>
      </c>
      <c r="C40" s="417">
        <v>0.85</v>
      </c>
      <c r="D40" s="417">
        <v>0.85</v>
      </c>
      <c r="E40" s="417">
        <v>0.85</v>
      </c>
      <c r="F40" s="417">
        <v>0.75</v>
      </c>
      <c r="G40" s="417">
        <v>0.85</v>
      </c>
      <c r="H40" s="36"/>
      <c r="I40" s="35"/>
    </row>
    <row r="41" spans="1:9" s="7" customFormat="1" x14ac:dyDescent="0.3">
      <c r="A41" s="19" t="s">
        <v>457</v>
      </c>
      <c r="B41" s="417">
        <v>0.99</v>
      </c>
      <c r="C41" s="417">
        <v>1</v>
      </c>
      <c r="D41" s="417">
        <v>0.9</v>
      </c>
      <c r="E41" s="417">
        <v>0.95</v>
      </c>
      <c r="F41" s="417">
        <v>0.9</v>
      </c>
      <c r="G41" s="417">
        <v>0.9</v>
      </c>
      <c r="H41" s="36"/>
    </row>
    <row r="42" spans="1:9" s="7" customFormat="1" x14ac:dyDescent="0.3">
      <c r="A42" s="19" t="s">
        <v>458</v>
      </c>
      <c r="B42" s="417">
        <v>0.27500000000000002</v>
      </c>
      <c r="C42" s="417">
        <v>0.26500000000000001</v>
      </c>
      <c r="D42" s="417">
        <v>0.26500000000000001</v>
      </c>
      <c r="E42" s="417">
        <v>0.26500000000000001</v>
      </c>
      <c r="F42" s="417">
        <v>0.26500000000000001</v>
      </c>
      <c r="G42" s="417">
        <v>0.26500000000000001</v>
      </c>
      <c r="H42" s="36"/>
    </row>
    <row r="43" spans="1:9" s="7" customFormat="1" x14ac:dyDescent="0.3">
      <c r="A43" s="19" t="s">
        <v>460</v>
      </c>
      <c r="B43" s="417">
        <v>0.308</v>
      </c>
      <c r="C43" s="417">
        <v>0.28000000000000003</v>
      </c>
      <c r="D43" s="417">
        <v>0.28000000000000003</v>
      </c>
      <c r="E43" s="417">
        <v>0.28000000000000003</v>
      </c>
      <c r="F43" s="417">
        <v>0.28000000000000003</v>
      </c>
      <c r="G43" s="417">
        <v>0.28000000000000003</v>
      </c>
      <c r="H43" s="36"/>
    </row>
    <row r="44" spans="1:9" s="7" customFormat="1" x14ac:dyDescent="0.3">
      <c r="A44" s="19" t="s">
        <v>461</v>
      </c>
      <c r="B44" s="417">
        <v>0.27500000000000002</v>
      </c>
      <c r="C44" s="417">
        <v>0.26500000000000001</v>
      </c>
      <c r="D44" s="417">
        <v>0.26500000000000001</v>
      </c>
      <c r="E44" s="417">
        <v>0.26500000000000001</v>
      </c>
      <c r="F44" s="417">
        <v>0.26500000000000001</v>
      </c>
      <c r="G44" s="417">
        <v>0.26500000000000001</v>
      </c>
      <c r="H44" s="36"/>
    </row>
    <row r="45" spans="1:9" s="7" customFormat="1" x14ac:dyDescent="0.3">
      <c r="A45" s="19" t="s">
        <v>462</v>
      </c>
      <c r="B45" s="417">
        <v>0.44</v>
      </c>
      <c r="C45" s="417">
        <v>0.5</v>
      </c>
      <c r="D45" s="417">
        <v>0.45</v>
      </c>
      <c r="E45" s="417">
        <v>0.5</v>
      </c>
      <c r="F45" s="417">
        <v>0.42400000000000004</v>
      </c>
      <c r="G45" s="417">
        <v>0.42400000000000004</v>
      </c>
      <c r="H45" s="36"/>
    </row>
    <row r="46" spans="1:9" s="7" customFormat="1" x14ac:dyDescent="0.3">
      <c r="A46" s="19" t="s">
        <v>463</v>
      </c>
      <c r="B46" s="417">
        <v>0.193</v>
      </c>
      <c r="C46" s="417">
        <v>0.22259999999999999</v>
      </c>
      <c r="D46" s="417">
        <v>0.21200000000000002</v>
      </c>
      <c r="E46" s="417">
        <v>0.21200000000000002</v>
      </c>
      <c r="F46" s="417">
        <v>0.20140000000000002</v>
      </c>
      <c r="G46" s="417">
        <v>0.20140000000000002</v>
      </c>
      <c r="H46" s="36"/>
    </row>
    <row r="47" spans="1:9" s="7" customFormat="1" x14ac:dyDescent="0.3">
      <c r="A47" s="19" t="s">
        <v>464</v>
      </c>
      <c r="B47" s="417">
        <v>0.495</v>
      </c>
      <c r="C47" s="417">
        <v>0.5</v>
      </c>
      <c r="D47" s="417">
        <v>0.5</v>
      </c>
      <c r="E47" s="417">
        <v>0.5</v>
      </c>
      <c r="F47" s="417">
        <v>0.45</v>
      </c>
      <c r="G47" s="417">
        <v>0.45</v>
      </c>
      <c r="H47" s="36"/>
    </row>
    <row r="48" spans="1:9" s="7" customFormat="1" x14ac:dyDescent="0.3">
      <c r="A48" s="19" t="s">
        <v>465</v>
      </c>
      <c r="B48" s="417">
        <v>0.27500000000000002</v>
      </c>
      <c r="C48" s="417">
        <v>0.26500000000000001</v>
      </c>
      <c r="D48" s="417">
        <v>0.318</v>
      </c>
      <c r="E48" s="417">
        <v>0.26500000000000001</v>
      </c>
      <c r="F48" s="417">
        <v>0.26500000000000001</v>
      </c>
      <c r="G48" s="417">
        <v>0.29680000000000006</v>
      </c>
      <c r="H48" s="36"/>
    </row>
    <row r="49" spans="1:13" s="7" customFormat="1" x14ac:dyDescent="0.3">
      <c r="A49" s="19" t="s">
        <v>466</v>
      </c>
      <c r="B49" s="417">
        <v>0.27500000000000002</v>
      </c>
      <c r="C49" s="417">
        <v>0.28620000000000001</v>
      </c>
      <c r="D49" s="417">
        <v>0.26500000000000001</v>
      </c>
      <c r="E49" s="417">
        <v>0.28620000000000001</v>
      </c>
      <c r="F49" s="417">
        <v>0.26500000000000001</v>
      </c>
      <c r="G49" s="417">
        <v>0.26500000000000001</v>
      </c>
      <c r="H49" s="36"/>
      <c r="K49" s="276"/>
      <c r="L49" s="276"/>
      <c r="M49" s="276"/>
    </row>
    <row r="50" spans="1:13" s="7" customFormat="1" x14ac:dyDescent="0.3">
      <c r="A50" s="19" t="s">
        <v>467</v>
      </c>
      <c r="B50" s="417">
        <v>0.20399999999999999</v>
      </c>
      <c r="C50" s="417">
        <v>0.1961</v>
      </c>
      <c r="D50" s="417">
        <v>0.1961</v>
      </c>
      <c r="E50" s="417">
        <v>0.1961</v>
      </c>
      <c r="F50" s="417">
        <v>0.1961</v>
      </c>
      <c r="G50" s="417">
        <v>0.1961</v>
      </c>
      <c r="H50" s="36"/>
      <c r="J50"/>
    </row>
    <row r="51" spans="1:13" s="7" customFormat="1" x14ac:dyDescent="0.3">
      <c r="A51" s="19" t="s">
        <v>468</v>
      </c>
      <c r="B51" s="417">
        <v>0.33</v>
      </c>
      <c r="C51" s="417">
        <v>0.3392</v>
      </c>
      <c r="D51" s="417">
        <v>0.318</v>
      </c>
      <c r="E51" s="417">
        <v>0.318</v>
      </c>
      <c r="F51" s="417">
        <v>0.318</v>
      </c>
      <c r="G51" s="417">
        <v>0.40280000000000005</v>
      </c>
      <c r="H51" s="36"/>
      <c r="J51"/>
    </row>
    <row r="52" spans="1:13" s="7" customFormat="1" x14ac:dyDescent="0.3">
      <c r="A52" s="19" t="s">
        <v>469</v>
      </c>
      <c r="B52" s="417">
        <v>0.16500000000000001</v>
      </c>
      <c r="C52" s="417">
        <v>0.159</v>
      </c>
      <c r="D52" s="417">
        <v>0.159</v>
      </c>
      <c r="E52" s="417">
        <v>0.159</v>
      </c>
      <c r="F52" s="417">
        <v>0.159</v>
      </c>
      <c r="G52" s="417">
        <v>0.159</v>
      </c>
      <c r="H52" s="36"/>
      <c r="J52"/>
    </row>
    <row r="53" spans="1:13" s="7" customFormat="1" x14ac:dyDescent="0.3">
      <c r="A53" s="19" t="s">
        <v>470</v>
      </c>
      <c r="B53" s="417">
        <v>0.16500000000000001</v>
      </c>
      <c r="C53" s="417">
        <v>0.159</v>
      </c>
      <c r="D53" s="417">
        <v>0.159</v>
      </c>
      <c r="E53" s="417">
        <v>0.159</v>
      </c>
      <c r="F53" s="417">
        <v>0.159</v>
      </c>
      <c r="G53" s="417">
        <v>0.159</v>
      </c>
      <c r="H53" s="36"/>
      <c r="J53"/>
    </row>
    <row r="54" spans="1:13" s="7" customFormat="1" x14ac:dyDescent="0.3">
      <c r="A54" s="19" t="s">
        <v>471</v>
      </c>
      <c r="B54" s="417">
        <v>0.16500000000000001</v>
      </c>
      <c r="C54" s="417">
        <v>0.159</v>
      </c>
      <c r="D54" s="417">
        <v>0.159</v>
      </c>
      <c r="E54" s="417">
        <v>0.159</v>
      </c>
      <c r="F54" s="417">
        <v>0.159</v>
      </c>
      <c r="G54" s="417">
        <v>0.159</v>
      </c>
      <c r="H54" s="36"/>
      <c r="J54"/>
    </row>
    <row r="55" spans="1:13" s="7" customFormat="1" x14ac:dyDescent="0.3">
      <c r="A55" s="19" t="s">
        <v>472</v>
      </c>
      <c r="B55" s="417">
        <v>0.20399999999999999</v>
      </c>
      <c r="C55" s="417">
        <v>0.1961</v>
      </c>
      <c r="D55" s="417">
        <v>0.1961</v>
      </c>
      <c r="E55" s="417">
        <v>0.1961</v>
      </c>
      <c r="F55" s="417">
        <v>0.1961</v>
      </c>
      <c r="G55" s="417">
        <v>0.1961</v>
      </c>
      <c r="H55" s="36"/>
      <c r="J55"/>
    </row>
    <row r="56" spans="1:13" s="7" customFormat="1" x14ac:dyDescent="0.3">
      <c r="A56" s="19" t="s">
        <v>473</v>
      </c>
      <c r="B56" s="417">
        <v>0.46200000000000002</v>
      </c>
      <c r="C56" s="417">
        <v>0.58300000000000007</v>
      </c>
      <c r="D56" s="417">
        <v>0.53</v>
      </c>
      <c r="E56" s="417">
        <v>0.58300000000000007</v>
      </c>
      <c r="F56" s="417">
        <v>0.53</v>
      </c>
      <c r="G56" s="417">
        <v>0.53</v>
      </c>
      <c r="H56" s="36"/>
      <c r="J56"/>
    </row>
    <row r="57" spans="1:13" x14ac:dyDescent="0.3">
      <c r="A57" s="19" t="s">
        <v>474</v>
      </c>
      <c r="B57" s="417">
        <v>1.1000000000000001</v>
      </c>
      <c r="C57" s="417">
        <v>1.06</v>
      </c>
      <c r="D57" s="417">
        <v>1.06</v>
      </c>
      <c r="E57" s="417">
        <v>1.06</v>
      </c>
      <c r="F57" s="417">
        <v>1.06</v>
      </c>
      <c r="G57" s="417">
        <v>1.06</v>
      </c>
      <c r="H57" s="36"/>
    </row>
    <row r="58" spans="1:13" x14ac:dyDescent="0.3">
      <c r="A58" s="19" t="s">
        <v>58</v>
      </c>
      <c r="B58" s="417">
        <v>0.26400000000000001</v>
      </c>
      <c r="C58" s="417">
        <v>0.371</v>
      </c>
      <c r="D58" s="417">
        <v>0.27560000000000001</v>
      </c>
      <c r="E58" s="417">
        <v>0.318</v>
      </c>
      <c r="F58" s="417">
        <v>0.27560000000000001</v>
      </c>
      <c r="G58" s="417">
        <v>0.27560000000000001</v>
      </c>
      <c r="H58" s="36"/>
    </row>
    <row r="59" spans="1:13" x14ac:dyDescent="0.3">
      <c r="A59" s="19" t="s">
        <v>475</v>
      </c>
      <c r="B59" s="417">
        <v>0.31900000000000001</v>
      </c>
      <c r="C59" s="417">
        <v>0.47700000000000004</v>
      </c>
      <c r="D59" s="417">
        <v>0.318</v>
      </c>
      <c r="E59" s="417">
        <v>0.3392</v>
      </c>
      <c r="F59" s="417">
        <v>0.318</v>
      </c>
      <c r="G59" s="417">
        <v>0.318</v>
      </c>
      <c r="H59" s="36"/>
    </row>
    <row r="60" spans="1:13" x14ac:dyDescent="0.3">
      <c r="A60" s="19" t="s">
        <v>478</v>
      </c>
      <c r="B60" s="417">
        <v>0.26400000000000001</v>
      </c>
      <c r="C60" s="417">
        <v>0.63600000000000001</v>
      </c>
      <c r="D60" s="417">
        <v>0.26500000000000001</v>
      </c>
      <c r="E60" s="417">
        <v>0.26500000000000001</v>
      </c>
      <c r="F60" s="417">
        <v>0.26500000000000001</v>
      </c>
      <c r="G60" s="417">
        <v>0.47700000000000004</v>
      </c>
    </row>
    <row r="61" spans="1:13" x14ac:dyDescent="0.3">
      <c r="A61" s="19" t="s">
        <v>479</v>
      </c>
      <c r="B61" s="417">
        <v>0.31900000000000001</v>
      </c>
      <c r="C61" s="417">
        <v>0.79500000000000004</v>
      </c>
      <c r="D61" s="417">
        <v>0.29680000000000006</v>
      </c>
      <c r="E61" s="417">
        <v>0.29680000000000006</v>
      </c>
      <c r="F61" s="417">
        <v>0.29680000000000006</v>
      </c>
      <c r="G61" s="417">
        <v>0.63600000000000001</v>
      </c>
    </row>
    <row r="62" spans="1:13" x14ac:dyDescent="0.3">
      <c r="A62" s="19" t="s">
        <v>482</v>
      </c>
      <c r="B62" s="417">
        <v>0.16500000000000001</v>
      </c>
      <c r="C62" s="417">
        <v>0.159</v>
      </c>
      <c r="D62" s="417">
        <v>0.159</v>
      </c>
      <c r="E62" s="417">
        <v>0.159</v>
      </c>
      <c r="F62" s="417">
        <v>0.159</v>
      </c>
      <c r="G62" s="417">
        <v>0.159</v>
      </c>
    </row>
    <row r="63" spans="1:13" x14ac:dyDescent="0.3">
      <c r="A63" s="19" t="s">
        <v>483</v>
      </c>
      <c r="B63" s="418">
        <v>0.20399999999999999</v>
      </c>
      <c r="C63" s="418">
        <v>0.185</v>
      </c>
      <c r="D63" s="418">
        <v>0.185</v>
      </c>
      <c r="E63" s="418">
        <v>0.185</v>
      </c>
      <c r="F63" s="418">
        <v>0.185</v>
      </c>
      <c r="G63" s="418">
        <v>0.185</v>
      </c>
    </row>
    <row r="64" spans="1:13" x14ac:dyDescent="0.3">
      <c r="A64" s="19" t="s">
        <v>485</v>
      </c>
      <c r="B64" s="417">
        <v>0.27500000000000002</v>
      </c>
      <c r="C64" s="417">
        <v>0.29680000000000006</v>
      </c>
      <c r="D64" s="417">
        <v>0.26500000000000001</v>
      </c>
      <c r="E64" s="417">
        <v>0.26500000000000001</v>
      </c>
      <c r="F64" s="417">
        <v>0.26500000000000001</v>
      </c>
      <c r="G64" s="417">
        <v>0.26500000000000001</v>
      </c>
    </row>
    <row r="65" spans="1:7" x14ac:dyDescent="0.3">
      <c r="A65" s="19" t="s">
        <v>486</v>
      </c>
      <c r="B65" s="417">
        <v>0.253</v>
      </c>
      <c r="C65" s="417">
        <v>0.24380000000000002</v>
      </c>
      <c r="D65" s="417">
        <v>0.26500000000000001</v>
      </c>
      <c r="E65" s="417">
        <v>0.24380000000000002</v>
      </c>
      <c r="F65" s="417">
        <v>0.29680000000000006</v>
      </c>
      <c r="G65" s="417">
        <v>0.24380000000000002</v>
      </c>
    </row>
    <row r="66" spans="1:7" x14ac:dyDescent="0.3">
      <c r="A66" s="19" t="s">
        <v>487</v>
      </c>
      <c r="B66" s="417">
        <v>0.27500000000000002</v>
      </c>
      <c r="C66" s="417">
        <v>0.28620000000000001</v>
      </c>
      <c r="D66" s="417">
        <v>0.26500000000000001</v>
      </c>
      <c r="E66" s="417">
        <v>0.28620000000000001</v>
      </c>
      <c r="F66" s="417">
        <v>0.26500000000000001</v>
      </c>
      <c r="G66" s="417">
        <v>0.26500000000000001</v>
      </c>
    </row>
    <row r="67" spans="1:7" x14ac:dyDescent="0.3">
      <c r="A67" s="19" t="s">
        <v>488</v>
      </c>
      <c r="B67" s="417">
        <v>0.26400000000000001</v>
      </c>
      <c r="C67" s="417">
        <v>0.371</v>
      </c>
      <c r="D67" s="417">
        <v>0.27560000000000001</v>
      </c>
      <c r="E67" s="417">
        <v>0.318</v>
      </c>
      <c r="F67" s="417">
        <v>0.27560000000000001</v>
      </c>
      <c r="G67" s="417">
        <v>0.27560000000000001</v>
      </c>
    </row>
    <row r="68" spans="1:7" x14ac:dyDescent="0.3">
      <c r="A68" s="19" t="s">
        <v>489</v>
      </c>
      <c r="B68" s="417">
        <v>0.24199999999999999</v>
      </c>
      <c r="C68" s="417">
        <v>0.23850000000000002</v>
      </c>
      <c r="D68" s="417">
        <v>0.23850000000000002</v>
      </c>
      <c r="E68" s="417">
        <v>0.23850000000000002</v>
      </c>
      <c r="F68" s="417">
        <v>0.23320000000000002</v>
      </c>
      <c r="G68" s="417">
        <v>0.23320000000000002</v>
      </c>
    </row>
    <row r="69" spans="1:7" x14ac:dyDescent="0.3">
      <c r="A69" s="19" t="s">
        <v>490</v>
      </c>
      <c r="B69" s="417">
        <v>0.308</v>
      </c>
      <c r="C69" s="417">
        <v>0.3286</v>
      </c>
      <c r="D69" s="417">
        <v>0.318</v>
      </c>
      <c r="E69" s="417">
        <v>0.318</v>
      </c>
      <c r="F69" s="417">
        <v>0.318</v>
      </c>
      <c r="G69" s="417">
        <v>0.318</v>
      </c>
    </row>
    <row r="70" spans="1:7" x14ac:dyDescent="0.3">
      <c r="A70" s="19" t="s">
        <v>491</v>
      </c>
      <c r="B70" s="417">
        <v>0.36299999999999999</v>
      </c>
      <c r="C70" s="417">
        <v>0.34980000000000006</v>
      </c>
      <c r="D70" s="417">
        <v>0.34980000000000006</v>
      </c>
      <c r="E70" s="417">
        <v>0.34980000000000006</v>
      </c>
      <c r="F70" s="417">
        <v>0.34980000000000006</v>
      </c>
      <c r="G70" s="417">
        <v>0.34980000000000006</v>
      </c>
    </row>
    <row r="71" spans="1:7" x14ac:dyDescent="0.3">
      <c r="A71" s="19" t="s">
        <v>492</v>
      </c>
      <c r="B71" s="417">
        <v>0.11</v>
      </c>
      <c r="C71" s="417">
        <v>0.10600000000000001</v>
      </c>
      <c r="D71" s="417">
        <v>0.10600000000000001</v>
      </c>
      <c r="E71" s="417">
        <v>0.10600000000000001</v>
      </c>
      <c r="F71" s="417">
        <v>0.10600000000000001</v>
      </c>
      <c r="G71" s="417">
        <v>0.10600000000000001</v>
      </c>
    </row>
    <row r="72" spans="1:7" x14ac:dyDescent="0.3">
      <c r="A72" s="19" t="s">
        <v>493</v>
      </c>
      <c r="B72" s="417">
        <v>0.308</v>
      </c>
      <c r="C72" s="417">
        <v>0.29680000000000006</v>
      </c>
      <c r="D72" s="417">
        <v>0.29680000000000006</v>
      </c>
      <c r="E72" s="417">
        <v>0.29680000000000006</v>
      </c>
      <c r="F72" s="417">
        <v>0.29680000000000006</v>
      </c>
      <c r="G72" s="417">
        <v>0.29680000000000006</v>
      </c>
    </row>
    <row r="73" spans="1:7" x14ac:dyDescent="0.3">
      <c r="A73" s="19" t="s">
        <v>494</v>
      </c>
      <c r="B73" s="417">
        <v>0.16500000000000001</v>
      </c>
      <c r="C73" s="417">
        <v>0.159</v>
      </c>
      <c r="D73" s="417">
        <v>0.159</v>
      </c>
      <c r="E73" s="417">
        <v>0.159</v>
      </c>
      <c r="F73" s="417">
        <v>0.159</v>
      </c>
      <c r="G73" s="417">
        <v>0.159</v>
      </c>
    </row>
    <row r="74" spans="1:7" x14ac:dyDescent="0.3">
      <c r="A74" s="19"/>
      <c r="B74" s="415"/>
      <c r="C74" s="415"/>
      <c r="D74" s="415"/>
      <c r="E74" s="415"/>
      <c r="F74" s="415"/>
      <c r="G74" s="415"/>
    </row>
    <row r="75" spans="1:7" x14ac:dyDescent="0.3">
      <c r="A75" s="19"/>
      <c r="B75" s="415"/>
      <c r="C75" s="415"/>
      <c r="D75" s="415"/>
      <c r="E75" s="415"/>
      <c r="F75" s="415"/>
      <c r="G75" s="415"/>
    </row>
    <row r="76" spans="1:7" x14ac:dyDescent="0.3">
      <c r="A76" s="19"/>
      <c r="B76" s="415"/>
      <c r="C76" s="415"/>
      <c r="D76" s="415"/>
      <c r="E76" s="415"/>
      <c r="F76" s="415"/>
      <c r="G76" s="415"/>
    </row>
    <row r="77" spans="1:7" x14ac:dyDescent="0.3">
      <c r="A77" s="19"/>
      <c r="B77" s="415"/>
      <c r="C77" s="415"/>
      <c r="D77" s="415"/>
      <c r="E77" s="415"/>
      <c r="F77" s="415"/>
      <c r="G77" s="415"/>
    </row>
    <row r="78" spans="1:7" x14ac:dyDescent="0.3">
      <c r="A78" s="19"/>
      <c r="B78" s="415"/>
      <c r="C78" s="415"/>
      <c r="D78" s="415"/>
      <c r="E78" s="415"/>
      <c r="F78" s="415"/>
      <c r="G78" s="415"/>
    </row>
    <row r="79" spans="1:7" x14ac:dyDescent="0.3">
      <c r="A79" s="19"/>
      <c r="B79" s="415"/>
      <c r="C79" s="415"/>
      <c r="D79" s="415"/>
      <c r="E79" s="415"/>
      <c r="F79" s="415"/>
      <c r="G79" s="415"/>
    </row>
    <row r="80" spans="1:7" x14ac:dyDescent="0.3">
      <c r="A80" s="19"/>
      <c r="B80" s="416"/>
      <c r="C80" s="416"/>
      <c r="D80" s="416"/>
      <c r="E80" s="416"/>
      <c r="F80" s="416"/>
      <c r="G80" s="416"/>
    </row>
    <row r="81" spans="1:7" x14ac:dyDescent="0.3">
      <c r="A81" s="19"/>
      <c r="B81" s="416"/>
      <c r="C81" s="416"/>
      <c r="D81" s="416"/>
      <c r="E81" s="416"/>
      <c r="F81" s="416"/>
      <c r="G81" s="416"/>
    </row>
  </sheetData>
  <autoFilter ref="A1:G81" xr:uid="{00000000-0001-0000-0600-000000000000}">
    <sortState xmlns:xlrd2="http://schemas.microsoft.com/office/spreadsheetml/2017/richdata2" ref="A2:G81">
      <sortCondition ref="A1:A81"/>
    </sortState>
  </autoFilter>
  <sortState xmlns:xlrd2="http://schemas.microsoft.com/office/spreadsheetml/2017/richdata2" ref="A2:G59">
    <sortCondition ref="A2:A59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C5C0-680E-4B61-8C3F-BC9B41F688F1}">
  <sheetPr codeName="Sheet19"/>
  <dimension ref="B1:C85"/>
  <sheetViews>
    <sheetView workbookViewId="0">
      <selection activeCell="B2" sqref="B2:C85"/>
    </sheetView>
  </sheetViews>
  <sheetFormatPr defaultColWidth="8.6640625" defaultRowHeight="14.4" x14ac:dyDescent="0.3"/>
  <cols>
    <col min="2" max="2" width="25.6640625" bestFit="1" customWidth="1"/>
  </cols>
  <sheetData>
    <row r="1" spans="2:3" x14ac:dyDescent="0.3">
      <c r="B1" t="s">
        <v>495</v>
      </c>
      <c r="C1" t="s">
        <v>496</v>
      </c>
    </row>
    <row r="2" spans="2:3" x14ac:dyDescent="0.3">
      <c r="B2" t="s">
        <v>55</v>
      </c>
      <c r="C2">
        <v>450</v>
      </c>
    </row>
    <row r="3" spans="2:3" x14ac:dyDescent="0.3">
      <c r="B3" t="s">
        <v>413</v>
      </c>
      <c r="C3">
        <v>450</v>
      </c>
    </row>
    <row r="4" spans="2:3" x14ac:dyDescent="0.3">
      <c r="B4" t="s">
        <v>414</v>
      </c>
      <c r="C4">
        <v>450</v>
      </c>
    </row>
    <row r="5" spans="2:3" x14ac:dyDescent="0.3">
      <c r="B5" t="s">
        <v>415</v>
      </c>
      <c r="C5">
        <v>240</v>
      </c>
    </row>
    <row r="6" spans="2:3" x14ac:dyDescent="0.3">
      <c r="B6" t="s">
        <v>417</v>
      </c>
      <c r="C6">
        <v>500</v>
      </c>
    </row>
    <row r="7" spans="2:3" x14ac:dyDescent="0.3">
      <c r="B7" t="s">
        <v>418</v>
      </c>
      <c r="C7">
        <v>600</v>
      </c>
    </row>
    <row r="8" spans="2:3" x14ac:dyDescent="0.3">
      <c r="B8" t="s">
        <v>419</v>
      </c>
      <c r="C8">
        <v>450</v>
      </c>
    </row>
    <row r="9" spans="2:3" x14ac:dyDescent="0.3">
      <c r="B9" t="s">
        <v>420</v>
      </c>
      <c r="C9">
        <v>600</v>
      </c>
    </row>
    <row r="10" spans="2:3" x14ac:dyDescent="0.3">
      <c r="B10" t="s">
        <v>421</v>
      </c>
      <c r="C10">
        <v>400</v>
      </c>
    </row>
    <row r="11" spans="2:3" x14ac:dyDescent="0.3">
      <c r="B11" t="s">
        <v>422</v>
      </c>
      <c r="C11">
        <v>80</v>
      </c>
    </row>
    <row r="12" spans="2:3" x14ac:dyDescent="0.3">
      <c r="B12" t="s">
        <v>423</v>
      </c>
      <c r="C12">
        <v>400</v>
      </c>
    </row>
    <row r="13" spans="2:3" x14ac:dyDescent="0.3">
      <c r="B13" t="s">
        <v>424</v>
      </c>
      <c r="C13">
        <v>100</v>
      </c>
    </row>
    <row r="14" spans="2:3" x14ac:dyDescent="0.3">
      <c r="B14" t="s">
        <v>425</v>
      </c>
      <c r="C14">
        <v>240</v>
      </c>
    </row>
    <row r="15" spans="2:3" x14ac:dyDescent="0.3">
      <c r="B15" t="s">
        <v>426</v>
      </c>
      <c r="C15">
        <v>750</v>
      </c>
    </row>
    <row r="16" spans="2:3" x14ac:dyDescent="0.3">
      <c r="B16" t="s">
        <v>427</v>
      </c>
      <c r="C16">
        <v>480</v>
      </c>
    </row>
    <row r="17" spans="2:3" x14ac:dyDescent="0.3">
      <c r="B17" t="s">
        <v>428</v>
      </c>
      <c r="C17">
        <v>300</v>
      </c>
    </row>
    <row r="18" spans="2:3" x14ac:dyDescent="0.3">
      <c r="B18" t="s">
        <v>429</v>
      </c>
      <c r="C18">
        <v>600</v>
      </c>
    </row>
    <row r="19" spans="2:3" x14ac:dyDescent="0.3">
      <c r="B19" t="s">
        <v>430</v>
      </c>
      <c r="C19">
        <v>800</v>
      </c>
    </row>
    <row r="20" spans="2:3" x14ac:dyDescent="0.3">
      <c r="B20" t="s">
        <v>431</v>
      </c>
      <c r="C20">
        <v>400</v>
      </c>
    </row>
    <row r="21" spans="2:3" x14ac:dyDescent="0.3">
      <c r="B21" t="s">
        <v>432</v>
      </c>
      <c r="C21">
        <v>400</v>
      </c>
    </row>
    <row r="22" spans="2:3" x14ac:dyDescent="0.3">
      <c r="B22" t="s">
        <v>433</v>
      </c>
      <c r="C22">
        <v>800</v>
      </c>
    </row>
    <row r="23" spans="2:3" x14ac:dyDescent="0.3">
      <c r="B23" t="s">
        <v>435</v>
      </c>
      <c r="C23">
        <v>400</v>
      </c>
    </row>
    <row r="24" spans="2:3" x14ac:dyDescent="0.3">
      <c r="B24" t="s">
        <v>436</v>
      </c>
      <c r="C24">
        <v>400</v>
      </c>
    </row>
    <row r="25" spans="2:3" x14ac:dyDescent="0.3">
      <c r="B25" t="s">
        <v>437</v>
      </c>
      <c r="C25">
        <v>480</v>
      </c>
    </row>
    <row r="26" spans="2:3" x14ac:dyDescent="0.3">
      <c r="B26" t="s">
        <v>438</v>
      </c>
      <c r="C26">
        <v>480</v>
      </c>
    </row>
    <row r="27" spans="2:3" x14ac:dyDescent="0.3">
      <c r="B27" t="s">
        <v>439</v>
      </c>
      <c r="C27">
        <v>480</v>
      </c>
    </row>
    <row r="28" spans="2:3" x14ac:dyDescent="0.3">
      <c r="B28" t="s">
        <v>440</v>
      </c>
      <c r="C28">
        <v>480</v>
      </c>
    </row>
    <row r="29" spans="2:3" x14ac:dyDescent="0.3">
      <c r="B29" t="s">
        <v>441</v>
      </c>
      <c r="C29">
        <v>300</v>
      </c>
    </row>
    <row r="30" spans="2:3" x14ac:dyDescent="0.3">
      <c r="B30" t="s">
        <v>442</v>
      </c>
      <c r="C30">
        <v>300</v>
      </c>
    </row>
    <row r="31" spans="2:3" x14ac:dyDescent="0.3">
      <c r="B31" t="s">
        <v>443</v>
      </c>
      <c r="C31">
        <v>500</v>
      </c>
    </row>
    <row r="32" spans="2:3" x14ac:dyDescent="0.3">
      <c r="B32" t="s">
        <v>444</v>
      </c>
      <c r="C32">
        <v>500</v>
      </c>
    </row>
    <row r="33" spans="2:3" x14ac:dyDescent="0.3">
      <c r="B33" t="s">
        <v>445</v>
      </c>
      <c r="C33">
        <v>144</v>
      </c>
    </row>
    <row r="34" spans="2:3" x14ac:dyDescent="0.3">
      <c r="B34" t="s">
        <v>446</v>
      </c>
      <c r="C34">
        <v>240</v>
      </c>
    </row>
    <row r="35" spans="2:3" x14ac:dyDescent="0.3">
      <c r="B35" t="s">
        <v>447</v>
      </c>
      <c r="C35">
        <v>450</v>
      </c>
    </row>
    <row r="36" spans="2:3" x14ac:dyDescent="0.3">
      <c r="B36" t="s">
        <v>448</v>
      </c>
      <c r="C36">
        <v>80</v>
      </c>
    </row>
    <row r="37" spans="2:3" x14ac:dyDescent="0.3">
      <c r="B37" t="s">
        <v>449</v>
      </c>
      <c r="C37">
        <v>80</v>
      </c>
    </row>
    <row r="38" spans="2:3" x14ac:dyDescent="0.3">
      <c r="B38" t="s">
        <v>450</v>
      </c>
      <c r="C38">
        <v>400</v>
      </c>
    </row>
    <row r="39" spans="2:3" x14ac:dyDescent="0.3">
      <c r="B39" t="s">
        <v>451</v>
      </c>
      <c r="C39">
        <v>500</v>
      </c>
    </row>
    <row r="40" spans="2:3" x14ac:dyDescent="0.3">
      <c r="B40" t="s">
        <v>452</v>
      </c>
      <c r="C40">
        <v>500</v>
      </c>
    </row>
    <row r="41" spans="2:3" x14ac:dyDescent="0.3">
      <c r="B41" t="s">
        <v>453</v>
      </c>
      <c r="C41">
        <v>960</v>
      </c>
    </row>
    <row r="42" spans="2:3" x14ac:dyDescent="0.3">
      <c r="B42" t="s">
        <v>454</v>
      </c>
      <c r="C42">
        <v>600</v>
      </c>
    </row>
    <row r="43" spans="2:3" x14ac:dyDescent="0.3">
      <c r="B43" t="s">
        <v>455</v>
      </c>
      <c r="C43">
        <v>200</v>
      </c>
    </row>
    <row r="44" spans="2:3" x14ac:dyDescent="0.3">
      <c r="B44" t="s">
        <v>456</v>
      </c>
      <c r="C44">
        <v>140</v>
      </c>
    </row>
    <row r="45" spans="2:3" x14ac:dyDescent="0.3">
      <c r="B45" t="s">
        <v>457</v>
      </c>
      <c r="C45">
        <v>120</v>
      </c>
    </row>
    <row r="46" spans="2:3" x14ac:dyDescent="0.3">
      <c r="B46" t="s">
        <v>458</v>
      </c>
      <c r="C46">
        <v>450</v>
      </c>
    </row>
    <row r="47" spans="2:3" x14ac:dyDescent="0.3">
      <c r="B47" t="s">
        <v>459</v>
      </c>
      <c r="C47">
        <v>240</v>
      </c>
    </row>
    <row r="48" spans="2:3" x14ac:dyDescent="0.3">
      <c r="B48" t="s">
        <v>460</v>
      </c>
      <c r="C48">
        <v>480</v>
      </c>
    </row>
    <row r="49" spans="2:3" x14ac:dyDescent="0.3">
      <c r="B49" t="s">
        <v>461</v>
      </c>
      <c r="C49">
        <v>400</v>
      </c>
    </row>
    <row r="50" spans="2:3" x14ac:dyDescent="0.3">
      <c r="B50" t="s">
        <v>462</v>
      </c>
      <c r="C50">
        <v>120</v>
      </c>
    </row>
    <row r="51" spans="2:3" x14ac:dyDescent="0.3">
      <c r="B51" t="s">
        <v>497</v>
      </c>
      <c r="C51">
        <v>450</v>
      </c>
    </row>
    <row r="52" spans="2:3" x14ac:dyDescent="0.3">
      <c r="B52" t="s">
        <v>464</v>
      </c>
      <c r="C52">
        <v>240</v>
      </c>
    </row>
    <row r="53" spans="2:3" x14ac:dyDescent="0.3">
      <c r="B53" t="s">
        <v>465</v>
      </c>
      <c r="C53">
        <v>450</v>
      </c>
    </row>
    <row r="54" spans="2:3" x14ac:dyDescent="0.3">
      <c r="B54" t="s">
        <v>466</v>
      </c>
      <c r="C54">
        <v>400</v>
      </c>
    </row>
    <row r="55" spans="2:3" x14ac:dyDescent="0.3">
      <c r="B55" t="s">
        <v>467</v>
      </c>
      <c r="C55">
        <v>400</v>
      </c>
    </row>
    <row r="56" spans="2:3" x14ac:dyDescent="0.3">
      <c r="B56" t="s">
        <v>468</v>
      </c>
      <c r="C56">
        <v>450</v>
      </c>
    </row>
    <row r="57" spans="2:3" x14ac:dyDescent="0.3">
      <c r="B57" t="s">
        <v>469</v>
      </c>
      <c r="C57">
        <v>600</v>
      </c>
    </row>
    <row r="58" spans="2:3" x14ac:dyDescent="0.3">
      <c r="B58" t="s">
        <v>470</v>
      </c>
      <c r="C58">
        <v>600</v>
      </c>
    </row>
    <row r="59" spans="2:3" x14ac:dyDescent="0.3">
      <c r="B59" t="s">
        <v>471</v>
      </c>
      <c r="C59">
        <v>400</v>
      </c>
    </row>
    <row r="60" spans="2:3" x14ac:dyDescent="0.3">
      <c r="B60" t="s">
        <v>472</v>
      </c>
      <c r="C60">
        <v>400</v>
      </c>
    </row>
    <row r="61" spans="2:3" x14ac:dyDescent="0.3">
      <c r="B61" t="s">
        <v>473</v>
      </c>
      <c r="C61">
        <v>600</v>
      </c>
    </row>
    <row r="62" spans="2:3" x14ac:dyDescent="0.3">
      <c r="B62" t="s">
        <v>474</v>
      </c>
      <c r="C62">
        <v>600</v>
      </c>
    </row>
    <row r="63" spans="2:3" x14ac:dyDescent="0.3">
      <c r="B63" t="s">
        <v>58</v>
      </c>
      <c r="C63">
        <v>400</v>
      </c>
    </row>
    <row r="64" spans="2:3" x14ac:dyDescent="0.3">
      <c r="B64" t="s">
        <v>475</v>
      </c>
      <c r="C64">
        <v>400</v>
      </c>
    </row>
    <row r="65" spans="2:3" x14ac:dyDescent="0.3">
      <c r="B65" t="s">
        <v>476</v>
      </c>
      <c r="C65">
        <v>400</v>
      </c>
    </row>
    <row r="66" spans="2:3" x14ac:dyDescent="0.3">
      <c r="B66" t="s">
        <v>477</v>
      </c>
      <c r="C66">
        <v>400</v>
      </c>
    </row>
    <row r="67" spans="2:3" x14ac:dyDescent="0.3">
      <c r="B67" t="s">
        <v>478</v>
      </c>
      <c r="C67">
        <v>400</v>
      </c>
    </row>
    <row r="68" spans="2:3" x14ac:dyDescent="0.3">
      <c r="B68" t="s">
        <v>479</v>
      </c>
      <c r="C68">
        <v>400</v>
      </c>
    </row>
    <row r="69" spans="2:3" x14ac:dyDescent="0.3">
      <c r="B69" t="s">
        <v>480</v>
      </c>
      <c r="C69">
        <v>400</v>
      </c>
    </row>
    <row r="70" spans="2:3" x14ac:dyDescent="0.3">
      <c r="B70" t="s">
        <v>481</v>
      </c>
      <c r="C70">
        <v>400</v>
      </c>
    </row>
    <row r="71" spans="2:3" x14ac:dyDescent="0.3">
      <c r="B71" t="s">
        <v>482</v>
      </c>
      <c r="C71">
        <v>600</v>
      </c>
    </row>
    <row r="72" spans="2:3" x14ac:dyDescent="0.3">
      <c r="B72" t="s">
        <v>483</v>
      </c>
      <c r="C72">
        <v>400</v>
      </c>
    </row>
    <row r="73" spans="2:3" x14ac:dyDescent="0.3">
      <c r="B73" t="s">
        <v>484</v>
      </c>
      <c r="C73">
        <v>600</v>
      </c>
    </row>
    <row r="74" spans="2:3" x14ac:dyDescent="0.3">
      <c r="B74" t="s">
        <v>485</v>
      </c>
      <c r="C74">
        <v>450</v>
      </c>
    </row>
    <row r="75" spans="2:3" x14ac:dyDescent="0.3">
      <c r="B75" t="s">
        <v>486</v>
      </c>
      <c r="C75">
        <v>450</v>
      </c>
    </row>
    <row r="76" spans="2:3" x14ac:dyDescent="0.3">
      <c r="B76" t="s">
        <v>487</v>
      </c>
      <c r="C76">
        <v>400</v>
      </c>
    </row>
    <row r="77" spans="2:3" x14ac:dyDescent="0.3">
      <c r="B77" t="s">
        <v>498</v>
      </c>
      <c r="C77">
        <v>280</v>
      </c>
    </row>
    <row r="78" spans="2:3" x14ac:dyDescent="0.3">
      <c r="B78" t="s">
        <v>499</v>
      </c>
      <c r="C78">
        <v>280</v>
      </c>
    </row>
    <row r="79" spans="2:3" x14ac:dyDescent="0.3">
      <c r="B79" t="s">
        <v>500</v>
      </c>
      <c r="C79">
        <v>280</v>
      </c>
    </row>
    <row r="80" spans="2:3" x14ac:dyDescent="0.3">
      <c r="B80" t="s">
        <v>489</v>
      </c>
      <c r="C80">
        <v>450</v>
      </c>
    </row>
    <row r="81" spans="2:3" x14ac:dyDescent="0.3">
      <c r="B81" t="s">
        <v>490</v>
      </c>
      <c r="C81">
        <v>450</v>
      </c>
    </row>
    <row r="82" spans="2:3" x14ac:dyDescent="0.3">
      <c r="B82" t="s">
        <v>491</v>
      </c>
      <c r="C82">
        <v>240</v>
      </c>
    </row>
    <row r="83" spans="2:3" x14ac:dyDescent="0.3">
      <c r="B83" t="s">
        <v>492</v>
      </c>
      <c r="C83">
        <v>800</v>
      </c>
    </row>
    <row r="84" spans="2:3" x14ac:dyDescent="0.3">
      <c r="B84" t="s">
        <v>493</v>
      </c>
      <c r="C84">
        <v>800</v>
      </c>
    </row>
    <row r="85" spans="2:3" x14ac:dyDescent="0.3">
      <c r="B85" t="s">
        <v>494</v>
      </c>
      <c r="C85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94"/>
  <sheetViews>
    <sheetView workbookViewId="0">
      <pane ySplit="1" topLeftCell="A2" activePane="bottomLeft" state="frozen"/>
      <selection activeCell="G8" sqref="A6:M35"/>
      <selection pane="bottomLeft" activeCell="G8" sqref="A6:M35"/>
    </sheetView>
  </sheetViews>
  <sheetFormatPr defaultColWidth="8.6640625" defaultRowHeight="14.4" x14ac:dyDescent="0.3"/>
  <cols>
    <col min="1" max="1" width="26.44140625" customWidth="1"/>
    <col min="2" max="2" width="17.6640625" bestFit="1" customWidth="1"/>
    <col min="3" max="3" width="34.44140625" bestFit="1" customWidth="1"/>
    <col min="4" max="4" width="26.44140625" customWidth="1"/>
    <col min="5" max="5" width="17.6640625" customWidth="1"/>
    <col min="6" max="6" width="11.109375" bestFit="1" customWidth="1"/>
    <col min="7" max="7" width="11.109375" customWidth="1"/>
  </cols>
  <sheetData>
    <row r="1" spans="1:6" s="1" customFormat="1" x14ac:dyDescent="0.3">
      <c r="A1" s="15" t="s">
        <v>47</v>
      </c>
      <c r="B1" s="16" t="s">
        <v>501</v>
      </c>
      <c r="C1" s="1" t="s">
        <v>502</v>
      </c>
      <c r="D1" s="15" t="s">
        <v>47</v>
      </c>
      <c r="E1" s="16" t="s">
        <v>501</v>
      </c>
      <c r="F1" s="1" t="s">
        <v>503</v>
      </c>
    </row>
    <row r="2" spans="1:6" x14ac:dyDescent="0.3">
      <c r="A2" s="18" t="s">
        <v>504</v>
      </c>
      <c r="B2" s="4" t="s">
        <v>505</v>
      </c>
      <c r="C2" s="44" t="s">
        <v>506</v>
      </c>
      <c r="D2" s="18" t="s">
        <v>504</v>
      </c>
      <c r="E2" s="4" t="s">
        <v>505</v>
      </c>
      <c r="F2" t="str">
        <f t="shared" ref="F2:F65" si="0">IF(AND(A2&lt;&gt;"",B2&lt;&gt;"",C2&lt;&gt;""),"OK","XXX")</f>
        <v>OK</v>
      </c>
    </row>
    <row r="3" spans="1:6" x14ac:dyDescent="0.3">
      <c r="A3" s="18" t="s">
        <v>507</v>
      </c>
      <c r="B3" s="4" t="s">
        <v>508</v>
      </c>
      <c r="C3" s="44" t="s">
        <v>417</v>
      </c>
      <c r="D3" s="18" t="s">
        <v>507</v>
      </c>
      <c r="E3" s="4" t="s">
        <v>508</v>
      </c>
      <c r="F3" t="str">
        <f t="shared" si="0"/>
        <v>OK</v>
      </c>
    </row>
    <row r="4" spans="1:6" x14ac:dyDescent="0.3">
      <c r="A4" s="18" t="s">
        <v>507</v>
      </c>
      <c r="B4" s="4"/>
      <c r="C4" s="17" t="s">
        <v>509</v>
      </c>
      <c r="D4" s="18" t="s">
        <v>507</v>
      </c>
      <c r="E4" s="4"/>
      <c r="F4" t="str">
        <f t="shared" si="0"/>
        <v>XXX</v>
      </c>
    </row>
    <row r="5" spans="1:6" x14ac:dyDescent="0.3">
      <c r="A5" s="18" t="s">
        <v>507</v>
      </c>
      <c r="B5" s="44" t="s">
        <v>418</v>
      </c>
      <c r="C5" s="44" t="s">
        <v>418</v>
      </c>
      <c r="D5" s="18" t="s">
        <v>507</v>
      </c>
      <c r="E5" s="44" t="s">
        <v>418</v>
      </c>
      <c r="F5" t="str">
        <f t="shared" si="0"/>
        <v>OK</v>
      </c>
    </row>
    <row r="6" spans="1:6" x14ac:dyDescent="0.3">
      <c r="A6" s="18" t="s">
        <v>510</v>
      </c>
      <c r="B6" s="4" t="s">
        <v>511</v>
      </c>
      <c r="C6" s="44" t="s">
        <v>419</v>
      </c>
      <c r="D6" s="18" t="s">
        <v>510</v>
      </c>
      <c r="E6" s="4" t="s">
        <v>511</v>
      </c>
      <c r="F6" t="str">
        <f t="shared" si="0"/>
        <v>OK</v>
      </c>
    </row>
    <row r="7" spans="1:6" x14ac:dyDescent="0.3">
      <c r="A7" s="18" t="s">
        <v>507</v>
      </c>
      <c r="B7" s="4"/>
      <c r="C7" s="17" t="s">
        <v>512</v>
      </c>
      <c r="D7" s="18" t="s">
        <v>507</v>
      </c>
      <c r="E7" s="4"/>
      <c r="F7" t="str">
        <f t="shared" si="0"/>
        <v>XXX</v>
      </c>
    </row>
    <row r="8" spans="1:6" x14ac:dyDescent="0.3">
      <c r="A8" s="18" t="s">
        <v>513</v>
      </c>
      <c r="B8" s="4" t="s">
        <v>514</v>
      </c>
      <c r="C8" s="44" t="s">
        <v>424</v>
      </c>
      <c r="D8" s="18" t="s">
        <v>513</v>
      </c>
      <c r="E8" s="4" t="s">
        <v>514</v>
      </c>
      <c r="F8" t="str">
        <f t="shared" si="0"/>
        <v>OK</v>
      </c>
    </row>
    <row r="9" spans="1:6" x14ac:dyDescent="0.3">
      <c r="A9" s="18"/>
      <c r="B9" s="4" t="s">
        <v>515</v>
      </c>
      <c r="C9" s="17"/>
      <c r="D9" s="18"/>
      <c r="E9" s="4" t="s">
        <v>515</v>
      </c>
      <c r="F9" t="str">
        <f t="shared" si="0"/>
        <v>XXX</v>
      </c>
    </row>
    <row r="10" spans="1:6" x14ac:dyDescent="0.3">
      <c r="A10" s="18" t="s">
        <v>516</v>
      </c>
      <c r="B10" s="4" t="s">
        <v>516</v>
      </c>
      <c r="C10" s="44" t="s">
        <v>426</v>
      </c>
      <c r="D10" s="18" t="s">
        <v>516</v>
      </c>
      <c r="E10" s="4" t="s">
        <v>516</v>
      </c>
      <c r="F10" t="str">
        <f t="shared" si="0"/>
        <v>OK</v>
      </c>
    </row>
    <row r="11" spans="1:6" x14ac:dyDescent="0.3">
      <c r="A11" s="18"/>
      <c r="B11" s="4"/>
      <c r="C11" s="17" t="s">
        <v>427</v>
      </c>
      <c r="D11" s="18"/>
      <c r="E11" s="4"/>
      <c r="F11" t="str">
        <f t="shared" si="0"/>
        <v>XXX</v>
      </c>
    </row>
    <row r="12" spans="1:6" x14ac:dyDescent="0.3">
      <c r="A12" s="18" t="s">
        <v>507</v>
      </c>
      <c r="B12" s="44" t="s">
        <v>517</v>
      </c>
      <c r="C12" s="44" t="s">
        <v>517</v>
      </c>
      <c r="D12" s="18" t="s">
        <v>507</v>
      </c>
      <c r="E12" s="44" t="s">
        <v>517</v>
      </c>
      <c r="F12" t="str">
        <f t="shared" si="0"/>
        <v>OK</v>
      </c>
    </row>
    <row r="13" spans="1:6" x14ac:dyDescent="0.3">
      <c r="A13" s="18" t="s">
        <v>507</v>
      </c>
      <c r="B13" s="4" t="s">
        <v>518</v>
      </c>
      <c r="C13" s="44" t="s">
        <v>428</v>
      </c>
      <c r="D13" s="18" t="s">
        <v>507</v>
      </c>
      <c r="E13" s="4" t="s">
        <v>518</v>
      </c>
      <c r="F13" t="str">
        <f t="shared" si="0"/>
        <v>OK</v>
      </c>
    </row>
    <row r="14" spans="1:6" x14ac:dyDescent="0.3">
      <c r="A14" s="18" t="s">
        <v>507</v>
      </c>
      <c r="B14" s="44" t="s">
        <v>429</v>
      </c>
      <c r="C14" s="44" t="s">
        <v>429</v>
      </c>
      <c r="D14" s="18" t="s">
        <v>507</v>
      </c>
      <c r="E14" s="44" t="s">
        <v>429</v>
      </c>
      <c r="F14" t="str">
        <f t="shared" si="0"/>
        <v>OK</v>
      </c>
    </row>
    <row r="15" spans="1:6" x14ac:dyDescent="0.3">
      <c r="A15" s="18" t="s">
        <v>507</v>
      </c>
      <c r="B15" s="4" t="s">
        <v>519</v>
      </c>
      <c r="C15" s="44" t="s">
        <v>520</v>
      </c>
      <c r="D15" s="18" t="s">
        <v>507</v>
      </c>
      <c r="E15" s="4" t="s">
        <v>519</v>
      </c>
      <c r="F15" t="str">
        <f t="shared" si="0"/>
        <v>OK</v>
      </c>
    </row>
    <row r="16" spans="1:6" x14ac:dyDescent="0.3">
      <c r="A16" s="18" t="s">
        <v>507</v>
      </c>
      <c r="B16" s="4"/>
      <c r="C16" s="17" t="s">
        <v>433</v>
      </c>
      <c r="D16" s="18" t="s">
        <v>507</v>
      </c>
      <c r="E16" s="4"/>
      <c r="F16" t="str">
        <f t="shared" si="0"/>
        <v>XXX</v>
      </c>
    </row>
    <row r="17" spans="1:9" x14ac:dyDescent="0.3">
      <c r="A17" s="18" t="s">
        <v>507</v>
      </c>
      <c r="B17" s="4"/>
      <c r="C17" s="17" t="s">
        <v>521</v>
      </c>
      <c r="D17" s="18" t="s">
        <v>507</v>
      </c>
      <c r="E17" s="4"/>
      <c r="F17" t="str">
        <f t="shared" si="0"/>
        <v>XXX</v>
      </c>
    </row>
    <row r="18" spans="1:9" x14ac:dyDescent="0.3">
      <c r="A18" s="18" t="s">
        <v>507</v>
      </c>
      <c r="B18" s="4" t="s">
        <v>522</v>
      </c>
      <c r="C18" s="44" t="s">
        <v>442</v>
      </c>
      <c r="D18" s="18" t="s">
        <v>507</v>
      </c>
      <c r="E18" s="4" t="s">
        <v>522</v>
      </c>
      <c r="F18" t="str">
        <f t="shared" si="0"/>
        <v>OK</v>
      </c>
    </row>
    <row r="19" spans="1:9" x14ac:dyDescent="0.3">
      <c r="A19" s="18" t="s">
        <v>523</v>
      </c>
      <c r="B19" s="4" t="s">
        <v>523</v>
      </c>
      <c r="C19" s="44" t="s">
        <v>438</v>
      </c>
      <c r="D19" s="18" t="s">
        <v>523</v>
      </c>
      <c r="E19" s="18" t="s">
        <v>523</v>
      </c>
      <c r="F19" t="str">
        <f t="shared" si="0"/>
        <v>OK</v>
      </c>
    </row>
    <row r="20" spans="1:9" x14ac:dyDescent="0.3">
      <c r="A20" s="18" t="s">
        <v>524</v>
      </c>
      <c r="B20" s="4" t="s">
        <v>524</v>
      </c>
      <c r="C20" s="44" t="s">
        <v>439</v>
      </c>
      <c r="D20" s="18" t="s">
        <v>524</v>
      </c>
      <c r="E20" s="18" t="s">
        <v>524</v>
      </c>
      <c r="F20" t="str">
        <f t="shared" si="0"/>
        <v>OK</v>
      </c>
    </row>
    <row r="21" spans="1:9" x14ac:dyDescent="0.3">
      <c r="A21" s="18" t="s">
        <v>525</v>
      </c>
      <c r="B21" s="4" t="s">
        <v>526</v>
      </c>
      <c r="C21" s="44" t="s">
        <v>441</v>
      </c>
      <c r="D21" s="18" t="s">
        <v>525</v>
      </c>
      <c r="E21" s="4" t="s">
        <v>526</v>
      </c>
      <c r="F21" t="str">
        <f t="shared" si="0"/>
        <v>OK</v>
      </c>
      <c r="H21" s="43" t="s">
        <v>527</v>
      </c>
      <c r="I21" s="19" t="s">
        <v>528</v>
      </c>
    </row>
    <row r="22" spans="1:9" x14ac:dyDescent="0.3">
      <c r="A22" s="17" t="s">
        <v>529</v>
      </c>
      <c r="B22" s="4" t="s">
        <v>530</v>
      </c>
      <c r="C22" s="44" t="s">
        <v>529</v>
      </c>
      <c r="D22" s="17" t="s">
        <v>529</v>
      </c>
      <c r="E22" s="4" t="s">
        <v>530</v>
      </c>
      <c r="F22" t="str">
        <f t="shared" si="0"/>
        <v>OK</v>
      </c>
    </row>
    <row r="23" spans="1:9" x14ac:dyDescent="0.3">
      <c r="A23" s="18" t="s">
        <v>531</v>
      </c>
      <c r="B23" s="4" t="s">
        <v>532</v>
      </c>
      <c r="C23" s="44" t="s">
        <v>445</v>
      </c>
      <c r="D23" s="18" t="s">
        <v>531</v>
      </c>
      <c r="E23" s="4" t="s">
        <v>532</v>
      </c>
      <c r="F23" t="str">
        <f t="shared" si="0"/>
        <v>OK</v>
      </c>
    </row>
    <row r="24" spans="1:9" x14ac:dyDescent="0.3">
      <c r="A24" s="18" t="s">
        <v>533</v>
      </c>
      <c r="B24" s="4" t="s">
        <v>534</v>
      </c>
      <c r="C24" s="44" t="s">
        <v>446</v>
      </c>
      <c r="D24" s="18" t="s">
        <v>533</v>
      </c>
      <c r="E24" s="4" t="s">
        <v>534</v>
      </c>
      <c r="F24" t="str">
        <f t="shared" si="0"/>
        <v>OK</v>
      </c>
    </row>
    <row r="25" spans="1:9" x14ac:dyDescent="0.3">
      <c r="A25" s="18" t="s">
        <v>535</v>
      </c>
      <c r="B25" s="4" t="s">
        <v>536</v>
      </c>
      <c r="C25" s="44" t="s">
        <v>537</v>
      </c>
      <c r="D25" s="18" t="s">
        <v>535</v>
      </c>
      <c r="E25" s="4" t="s">
        <v>536</v>
      </c>
      <c r="F25" t="str">
        <f t="shared" si="0"/>
        <v>OK</v>
      </c>
    </row>
    <row r="26" spans="1:9" x14ac:dyDescent="0.3">
      <c r="A26" s="18"/>
      <c r="B26" s="4"/>
      <c r="C26" s="17" t="s">
        <v>538</v>
      </c>
      <c r="D26" s="18"/>
      <c r="E26" s="4"/>
      <c r="F26" t="str">
        <f t="shared" si="0"/>
        <v>XXX</v>
      </c>
    </row>
    <row r="27" spans="1:9" x14ac:dyDescent="0.3">
      <c r="A27" s="18"/>
      <c r="B27" s="4"/>
      <c r="C27" s="17" t="s">
        <v>539</v>
      </c>
      <c r="D27" s="18"/>
      <c r="E27" s="4"/>
      <c r="F27" t="str">
        <f t="shared" si="0"/>
        <v>XXX</v>
      </c>
    </row>
    <row r="28" spans="1:9" x14ac:dyDescent="0.3">
      <c r="A28" s="18" t="s">
        <v>507</v>
      </c>
      <c r="B28" s="4"/>
      <c r="C28" s="17"/>
      <c r="D28" s="18" t="s">
        <v>507</v>
      </c>
      <c r="E28" s="4"/>
      <c r="F28" t="str">
        <f t="shared" si="0"/>
        <v>XXX</v>
      </c>
    </row>
    <row r="29" spans="1:9" x14ac:dyDescent="0.3">
      <c r="A29" s="18" t="s">
        <v>540</v>
      </c>
      <c r="B29" s="4"/>
      <c r="C29" s="17"/>
      <c r="D29" s="18" t="s">
        <v>540</v>
      </c>
      <c r="E29" s="4"/>
      <c r="F29" t="str">
        <f t="shared" si="0"/>
        <v>XXX</v>
      </c>
    </row>
    <row r="30" spans="1:9" x14ac:dyDescent="0.3">
      <c r="A30" s="18" t="s">
        <v>507</v>
      </c>
      <c r="B30" s="4" t="s">
        <v>541</v>
      </c>
      <c r="C30" s="44" t="s">
        <v>542</v>
      </c>
      <c r="D30" s="18" t="s">
        <v>507</v>
      </c>
      <c r="E30" s="4" t="s">
        <v>541</v>
      </c>
      <c r="F30" t="str">
        <f t="shared" si="0"/>
        <v>OK</v>
      </c>
    </row>
    <row r="31" spans="1:9" x14ac:dyDescent="0.3">
      <c r="A31" s="18" t="s">
        <v>543</v>
      </c>
      <c r="B31" s="4" t="s">
        <v>544</v>
      </c>
      <c r="C31" s="44" t="s">
        <v>447</v>
      </c>
      <c r="D31" s="18" t="s">
        <v>543</v>
      </c>
      <c r="E31" s="4" t="s">
        <v>544</v>
      </c>
      <c r="F31" t="str">
        <f t="shared" si="0"/>
        <v>OK</v>
      </c>
    </row>
    <row r="32" spans="1:9" x14ac:dyDescent="0.3">
      <c r="A32" s="18"/>
      <c r="B32" s="4" t="s">
        <v>545</v>
      </c>
      <c r="C32" s="17"/>
      <c r="D32" s="18"/>
      <c r="E32" s="4" t="s">
        <v>545</v>
      </c>
      <c r="F32" t="str">
        <f t="shared" si="0"/>
        <v>XXX</v>
      </c>
    </row>
    <row r="33" spans="1:6" x14ac:dyDescent="0.3">
      <c r="A33" s="18" t="s">
        <v>546</v>
      </c>
      <c r="B33" s="4" t="s">
        <v>547</v>
      </c>
      <c r="C33" s="44" t="s">
        <v>448</v>
      </c>
      <c r="D33" s="18" t="s">
        <v>546</v>
      </c>
      <c r="E33" s="4" t="s">
        <v>547</v>
      </c>
      <c r="F33" t="str">
        <f t="shared" si="0"/>
        <v>OK</v>
      </c>
    </row>
    <row r="34" spans="1:6" x14ac:dyDescent="0.3">
      <c r="A34" s="18"/>
      <c r="B34" s="4" t="s">
        <v>548</v>
      </c>
      <c r="C34" s="17"/>
      <c r="D34" s="18"/>
      <c r="E34" s="4" t="s">
        <v>548</v>
      </c>
      <c r="F34" t="str">
        <f t="shared" si="0"/>
        <v>XXX</v>
      </c>
    </row>
    <row r="35" spans="1:6" x14ac:dyDescent="0.3">
      <c r="A35" s="18" t="s">
        <v>549</v>
      </c>
      <c r="B35" s="4" t="s">
        <v>550</v>
      </c>
      <c r="C35" s="44" t="s">
        <v>450</v>
      </c>
      <c r="D35" s="18" t="s">
        <v>549</v>
      </c>
      <c r="E35" s="4" t="s">
        <v>550</v>
      </c>
      <c r="F35" t="str">
        <f t="shared" si="0"/>
        <v>OK</v>
      </c>
    </row>
    <row r="36" spans="1:6" x14ac:dyDescent="0.3">
      <c r="A36" s="18" t="s">
        <v>551</v>
      </c>
      <c r="B36" s="4" t="s">
        <v>552</v>
      </c>
      <c r="C36" s="44" t="s">
        <v>422</v>
      </c>
      <c r="D36" s="18" t="s">
        <v>551</v>
      </c>
      <c r="E36" s="4" t="s">
        <v>552</v>
      </c>
      <c r="F36" t="str">
        <f t="shared" si="0"/>
        <v>OK</v>
      </c>
    </row>
    <row r="37" spans="1:6" x14ac:dyDescent="0.3">
      <c r="A37" s="18" t="s">
        <v>507</v>
      </c>
      <c r="B37" s="4" t="s">
        <v>553</v>
      </c>
      <c r="C37" s="44" t="s">
        <v>451</v>
      </c>
      <c r="D37" s="18" t="s">
        <v>507</v>
      </c>
      <c r="E37" s="4" t="s">
        <v>553</v>
      </c>
      <c r="F37" t="str">
        <f t="shared" si="0"/>
        <v>OK</v>
      </c>
    </row>
    <row r="38" spans="1:6" x14ac:dyDescent="0.3">
      <c r="A38" s="18" t="s">
        <v>554</v>
      </c>
      <c r="B38" s="4" t="s">
        <v>555</v>
      </c>
      <c r="C38" s="44" t="s">
        <v>453</v>
      </c>
      <c r="D38" s="18" t="s">
        <v>554</v>
      </c>
      <c r="E38" s="4" t="s">
        <v>555</v>
      </c>
      <c r="F38" t="str">
        <f t="shared" si="0"/>
        <v>OK</v>
      </c>
    </row>
    <row r="39" spans="1:6" x14ac:dyDescent="0.3">
      <c r="A39" s="18" t="s">
        <v>507</v>
      </c>
      <c r="B39" s="44" t="s">
        <v>556</v>
      </c>
      <c r="C39" s="44" t="s">
        <v>556</v>
      </c>
      <c r="D39" s="18" t="s">
        <v>507</v>
      </c>
      <c r="E39" s="44" t="s">
        <v>556</v>
      </c>
      <c r="F39" t="str">
        <f t="shared" si="0"/>
        <v>OK</v>
      </c>
    </row>
    <row r="40" spans="1:6" x14ac:dyDescent="0.3">
      <c r="A40" s="18" t="s">
        <v>507</v>
      </c>
      <c r="B40" s="4"/>
      <c r="C40" s="17" t="s">
        <v>557</v>
      </c>
      <c r="D40" s="18" t="s">
        <v>507</v>
      </c>
      <c r="E40" s="4"/>
      <c r="F40" t="str">
        <f t="shared" si="0"/>
        <v>XXX</v>
      </c>
    </row>
    <row r="41" spans="1:6" x14ac:dyDescent="0.3">
      <c r="A41" s="18" t="s">
        <v>558</v>
      </c>
      <c r="B41" s="4" t="s">
        <v>558</v>
      </c>
      <c r="C41" s="44" t="s">
        <v>458</v>
      </c>
      <c r="D41" s="18" t="s">
        <v>558</v>
      </c>
      <c r="E41" s="4" t="s">
        <v>558</v>
      </c>
      <c r="F41" t="str">
        <f t="shared" si="0"/>
        <v>OK</v>
      </c>
    </row>
    <row r="42" spans="1:6" x14ac:dyDescent="0.3">
      <c r="A42" s="18"/>
      <c r="B42" s="4"/>
      <c r="C42" s="17" t="s">
        <v>559</v>
      </c>
      <c r="D42" s="18"/>
      <c r="E42" s="4"/>
      <c r="F42" t="str">
        <f t="shared" si="0"/>
        <v>XXX</v>
      </c>
    </row>
    <row r="43" spans="1:6" x14ac:dyDescent="0.3">
      <c r="A43" s="18" t="s">
        <v>560</v>
      </c>
      <c r="B43" s="4" t="s">
        <v>561</v>
      </c>
      <c r="C43" s="44" t="s">
        <v>562</v>
      </c>
      <c r="D43" s="18" t="s">
        <v>560</v>
      </c>
      <c r="E43" s="4" t="s">
        <v>561</v>
      </c>
      <c r="F43" t="str">
        <f t="shared" si="0"/>
        <v>OK</v>
      </c>
    </row>
    <row r="44" spans="1:6" x14ac:dyDescent="0.3">
      <c r="A44" s="18" t="s">
        <v>563</v>
      </c>
      <c r="B44" s="4" t="s">
        <v>564</v>
      </c>
      <c r="C44" s="44" t="s">
        <v>565</v>
      </c>
      <c r="D44" s="18" t="s">
        <v>563</v>
      </c>
      <c r="E44" s="4" t="s">
        <v>564</v>
      </c>
      <c r="F44" t="str">
        <f t="shared" si="0"/>
        <v>OK</v>
      </c>
    </row>
    <row r="45" spans="1:6" x14ac:dyDescent="0.3">
      <c r="A45" s="18" t="s">
        <v>566</v>
      </c>
      <c r="B45" s="4" t="s">
        <v>567</v>
      </c>
      <c r="C45" s="44" t="s">
        <v>461</v>
      </c>
      <c r="D45" s="18" t="s">
        <v>566</v>
      </c>
      <c r="E45" s="4" t="s">
        <v>567</v>
      </c>
      <c r="F45" t="str">
        <f t="shared" si="0"/>
        <v>OK</v>
      </c>
    </row>
    <row r="46" spans="1:6" x14ac:dyDescent="0.3">
      <c r="A46" s="18"/>
      <c r="B46" s="4" t="s">
        <v>568</v>
      </c>
      <c r="C46" s="17" t="s">
        <v>569</v>
      </c>
      <c r="D46" s="18"/>
      <c r="E46" s="4" t="s">
        <v>568</v>
      </c>
      <c r="F46" t="str">
        <f t="shared" si="0"/>
        <v>XXX</v>
      </c>
    </row>
    <row r="47" spans="1:6" x14ac:dyDescent="0.3">
      <c r="A47" s="18"/>
      <c r="B47" s="4"/>
      <c r="C47" s="17" t="s">
        <v>570</v>
      </c>
      <c r="D47" s="18"/>
      <c r="E47" s="4"/>
      <c r="F47" t="str">
        <f t="shared" si="0"/>
        <v>XXX</v>
      </c>
    </row>
    <row r="48" spans="1:6" x14ac:dyDescent="0.3">
      <c r="A48" s="18" t="s">
        <v>571</v>
      </c>
      <c r="B48" s="4" t="s">
        <v>568</v>
      </c>
      <c r="C48" s="44" t="s">
        <v>572</v>
      </c>
      <c r="D48" s="18" t="s">
        <v>571</v>
      </c>
      <c r="E48" s="4" t="s">
        <v>568</v>
      </c>
      <c r="F48" t="str">
        <f t="shared" si="0"/>
        <v>OK</v>
      </c>
    </row>
    <row r="49" spans="1:8" x14ac:dyDescent="0.3">
      <c r="A49" s="18" t="s">
        <v>507</v>
      </c>
      <c r="B49" s="4"/>
      <c r="C49" s="17" t="s">
        <v>573</v>
      </c>
      <c r="D49" s="18" t="s">
        <v>507</v>
      </c>
      <c r="E49" s="4"/>
      <c r="F49" t="str">
        <f t="shared" si="0"/>
        <v>XXX</v>
      </c>
    </row>
    <row r="50" spans="1:8" x14ac:dyDescent="0.3">
      <c r="A50" s="18"/>
      <c r="B50" s="4"/>
      <c r="C50" s="17" t="s">
        <v>574</v>
      </c>
      <c r="D50" s="18"/>
      <c r="E50" s="4"/>
      <c r="F50" t="str">
        <f t="shared" si="0"/>
        <v>XXX</v>
      </c>
    </row>
    <row r="51" spans="1:8" x14ac:dyDescent="0.3">
      <c r="A51" s="18" t="s">
        <v>575</v>
      </c>
      <c r="B51" s="4" t="s">
        <v>575</v>
      </c>
      <c r="C51" s="44" t="s">
        <v>497</v>
      </c>
      <c r="D51" s="18" t="s">
        <v>575</v>
      </c>
      <c r="E51" s="4" t="s">
        <v>575</v>
      </c>
      <c r="F51" t="str">
        <f t="shared" si="0"/>
        <v>OK</v>
      </c>
    </row>
    <row r="52" spans="1:8" x14ac:dyDescent="0.3">
      <c r="A52" s="18" t="s">
        <v>576</v>
      </c>
      <c r="B52" s="4" t="s">
        <v>577</v>
      </c>
      <c r="C52" s="44" t="s">
        <v>464</v>
      </c>
      <c r="D52" s="18" t="s">
        <v>576</v>
      </c>
      <c r="E52" s="4" t="s">
        <v>577</v>
      </c>
      <c r="F52" t="str">
        <f t="shared" si="0"/>
        <v>OK</v>
      </c>
    </row>
    <row r="53" spans="1:8" x14ac:dyDescent="0.3">
      <c r="A53" s="18" t="s">
        <v>507</v>
      </c>
      <c r="B53" s="4"/>
      <c r="C53" s="17" t="s">
        <v>578</v>
      </c>
      <c r="D53" s="18" t="s">
        <v>507</v>
      </c>
      <c r="E53" s="4"/>
      <c r="F53" t="str">
        <f t="shared" si="0"/>
        <v>XXX</v>
      </c>
    </row>
    <row r="54" spans="1:8" x14ac:dyDescent="0.3">
      <c r="A54" s="17" t="s">
        <v>465</v>
      </c>
      <c r="B54" s="4" t="s">
        <v>579</v>
      </c>
      <c r="C54" s="44" t="s">
        <v>465</v>
      </c>
      <c r="D54" s="17" t="s">
        <v>465</v>
      </c>
      <c r="E54" s="4" t="s">
        <v>579</v>
      </c>
      <c r="F54" t="str">
        <f t="shared" si="0"/>
        <v>OK</v>
      </c>
    </row>
    <row r="55" spans="1:8" x14ac:dyDescent="0.3">
      <c r="A55" s="18" t="s">
        <v>580</v>
      </c>
      <c r="B55" s="4" t="s">
        <v>581</v>
      </c>
      <c r="C55" s="44" t="s">
        <v>466</v>
      </c>
      <c r="D55" s="18" t="s">
        <v>580</v>
      </c>
      <c r="E55" s="4" t="s">
        <v>581</v>
      </c>
      <c r="F55" t="str">
        <f t="shared" si="0"/>
        <v>OK</v>
      </c>
      <c r="H55" s="43" t="s">
        <v>582</v>
      </c>
    </row>
    <row r="56" spans="1:8" x14ac:dyDescent="0.3">
      <c r="A56" s="18" t="s">
        <v>571</v>
      </c>
      <c r="B56" s="4" t="s">
        <v>583</v>
      </c>
      <c r="C56" s="44" t="s">
        <v>487</v>
      </c>
      <c r="D56" s="18" t="s">
        <v>571</v>
      </c>
      <c r="E56" s="4" t="s">
        <v>583</v>
      </c>
      <c r="F56" t="str">
        <f t="shared" si="0"/>
        <v>OK</v>
      </c>
      <c r="H56" s="43" t="s">
        <v>584</v>
      </c>
    </row>
    <row r="57" spans="1:8" x14ac:dyDescent="0.3">
      <c r="A57" s="18" t="s">
        <v>507</v>
      </c>
      <c r="B57" s="4" t="s">
        <v>585</v>
      </c>
      <c r="C57" s="17"/>
      <c r="D57" s="18" t="s">
        <v>507</v>
      </c>
      <c r="E57" s="4" t="s">
        <v>585</v>
      </c>
      <c r="F57" t="str">
        <f t="shared" si="0"/>
        <v>XXX</v>
      </c>
    </row>
    <row r="58" spans="1:8" x14ac:dyDescent="0.3">
      <c r="A58" s="18" t="s">
        <v>507</v>
      </c>
      <c r="B58" s="4"/>
      <c r="C58" s="17" t="s">
        <v>586</v>
      </c>
      <c r="D58" s="18" t="s">
        <v>507</v>
      </c>
      <c r="E58" s="4"/>
      <c r="F58" t="str">
        <f t="shared" si="0"/>
        <v>XXX</v>
      </c>
    </row>
    <row r="59" spans="1:8" x14ac:dyDescent="0.3">
      <c r="A59" s="18" t="s">
        <v>507</v>
      </c>
      <c r="B59" s="4"/>
      <c r="C59" s="17" t="s">
        <v>587</v>
      </c>
      <c r="D59" s="18" t="s">
        <v>507</v>
      </c>
      <c r="E59" s="4"/>
      <c r="F59" t="str">
        <f t="shared" si="0"/>
        <v>XXX</v>
      </c>
    </row>
    <row r="60" spans="1:8" x14ac:dyDescent="0.3">
      <c r="A60" s="18" t="s">
        <v>507</v>
      </c>
      <c r="B60" s="44" t="s">
        <v>469</v>
      </c>
      <c r="C60" s="44" t="s">
        <v>469</v>
      </c>
      <c r="D60" s="18" t="s">
        <v>507</v>
      </c>
      <c r="E60" s="44" t="s">
        <v>469</v>
      </c>
      <c r="F60" t="str">
        <f t="shared" si="0"/>
        <v>OK</v>
      </c>
    </row>
    <row r="61" spans="1:8" x14ac:dyDescent="0.3">
      <c r="A61" s="44" t="s">
        <v>470</v>
      </c>
      <c r="B61" s="4" t="s">
        <v>588</v>
      </c>
      <c r="C61" s="44" t="s">
        <v>470</v>
      </c>
      <c r="D61" s="44" t="s">
        <v>470</v>
      </c>
      <c r="E61" s="4" t="s">
        <v>588</v>
      </c>
      <c r="F61" t="str">
        <f t="shared" si="0"/>
        <v>OK</v>
      </c>
    </row>
    <row r="62" spans="1:8" x14ac:dyDescent="0.3">
      <c r="A62" s="18" t="s">
        <v>507</v>
      </c>
      <c r="B62" s="4"/>
      <c r="C62" s="17" t="s">
        <v>589</v>
      </c>
      <c r="D62" s="18" t="s">
        <v>507</v>
      </c>
      <c r="E62" s="4"/>
      <c r="F62" t="str">
        <f t="shared" si="0"/>
        <v>XXX</v>
      </c>
    </row>
    <row r="63" spans="1:8" x14ac:dyDescent="0.3">
      <c r="A63" s="18" t="s">
        <v>507</v>
      </c>
      <c r="B63" s="4" t="s">
        <v>590</v>
      </c>
      <c r="C63" s="44" t="s">
        <v>471</v>
      </c>
      <c r="D63" s="18" t="s">
        <v>507</v>
      </c>
      <c r="E63" s="4" t="s">
        <v>590</v>
      </c>
      <c r="F63" t="str">
        <f t="shared" si="0"/>
        <v>OK</v>
      </c>
    </row>
    <row r="64" spans="1:8" x14ac:dyDescent="0.3">
      <c r="A64" s="18" t="s">
        <v>571</v>
      </c>
      <c r="B64" s="4"/>
      <c r="C64" s="17" t="s">
        <v>472</v>
      </c>
      <c r="D64" s="18" t="s">
        <v>571</v>
      </c>
      <c r="E64" s="4"/>
      <c r="F64" t="str">
        <f t="shared" si="0"/>
        <v>XXX</v>
      </c>
    </row>
    <row r="65" spans="1:6" x14ac:dyDescent="0.3">
      <c r="A65" s="18" t="s">
        <v>571</v>
      </c>
      <c r="B65" s="4"/>
      <c r="C65" s="17" t="s">
        <v>591</v>
      </c>
      <c r="D65" s="18" t="s">
        <v>571</v>
      </c>
      <c r="E65" s="4"/>
      <c r="F65" t="str">
        <f t="shared" si="0"/>
        <v>XXX</v>
      </c>
    </row>
    <row r="66" spans="1:6" x14ac:dyDescent="0.3">
      <c r="A66" s="18" t="s">
        <v>571</v>
      </c>
      <c r="B66" s="4" t="s">
        <v>592</v>
      </c>
      <c r="C66" s="44" t="s">
        <v>423</v>
      </c>
      <c r="D66" s="18" t="s">
        <v>571</v>
      </c>
      <c r="E66" s="4" t="s">
        <v>592</v>
      </c>
      <c r="F66" t="str">
        <f t="shared" ref="F66:F94" si="1">IF(AND(A66&lt;&gt;"",B66&lt;&gt;"",C66&lt;&gt;""),"OK","XXX")</f>
        <v>OK</v>
      </c>
    </row>
    <row r="67" spans="1:6" x14ac:dyDescent="0.3">
      <c r="A67" s="18" t="s">
        <v>580</v>
      </c>
      <c r="B67" s="4" t="s">
        <v>593</v>
      </c>
      <c r="C67" s="44" t="s">
        <v>432</v>
      </c>
      <c r="D67" s="18" t="s">
        <v>580</v>
      </c>
      <c r="E67" s="4" t="s">
        <v>593</v>
      </c>
      <c r="F67" t="str">
        <f t="shared" si="1"/>
        <v>OK</v>
      </c>
    </row>
    <row r="68" spans="1:6" x14ac:dyDescent="0.3">
      <c r="A68" s="18" t="s">
        <v>571</v>
      </c>
      <c r="B68" s="4" t="s">
        <v>594</v>
      </c>
      <c r="C68" s="44" t="s">
        <v>435</v>
      </c>
      <c r="D68" s="18" t="s">
        <v>571</v>
      </c>
      <c r="E68" s="4" t="s">
        <v>594</v>
      </c>
      <c r="F68" t="str">
        <f t="shared" si="1"/>
        <v>OK</v>
      </c>
    </row>
    <row r="69" spans="1:6" x14ac:dyDescent="0.3">
      <c r="A69" s="18" t="s">
        <v>571</v>
      </c>
      <c r="B69" s="4" t="s">
        <v>595</v>
      </c>
      <c r="C69" s="44" t="s">
        <v>436</v>
      </c>
      <c r="D69" s="18" t="s">
        <v>571</v>
      </c>
      <c r="E69" s="4" t="s">
        <v>595</v>
      </c>
      <c r="F69" t="str">
        <f t="shared" si="1"/>
        <v>OK</v>
      </c>
    </row>
    <row r="70" spans="1:6" x14ac:dyDescent="0.3">
      <c r="A70" s="18" t="s">
        <v>571</v>
      </c>
      <c r="B70" s="4" t="s">
        <v>596</v>
      </c>
      <c r="C70" s="44" t="s">
        <v>467</v>
      </c>
      <c r="D70" s="18" t="s">
        <v>571</v>
      </c>
      <c r="E70" s="4" t="s">
        <v>596</v>
      </c>
      <c r="F70" t="str">
        <f t="shared" si="1"/>
        <v>OK</v>
      </c>
    </row>
    <row r="71" spans="1:6" x14ac:dyDescent="0.3">
      <c r="A71" s="18" t="s">
        <v>571</v>
      </c>
      <c r="B71" s="4" t="s">
        <v>597</v>
      </c>
      <c r="C71" s="44" t="s">
        <v>483</v>
      </c>
      <c r="D71" s="18" t="s">
        <v>571</v>
      </c>
      <c r="E71" s="4" t="s">
        <v>597</v>
      </c>
      <c r="F71" t="str">
        <f t="shared" si="1"/>
        <v>OK</v>
      </c>
    </row>
    <row r="72" spans="1:6" x14ac:dyDescent="0.3">
      <c r="A72" s="18" t="s">
        <v>507</v>
      </c>
      <c r="B72" s="4"/>
      <c r="C72" s="17" t="s">
        <v>598</v>
      </c>
      <c r="D72" s="18" t="s">
        <v>507</v>
      </c>
      <c r="E72" s="4"/>
      <c r="F72" t="str">
        <f t="shared" si="1"/>
        <v>XXX</v>
      </c>
    </row>
    <row r="73" spans="1:6" x14ac:dyDescent="0.3">
      <c r="A73" s="18" t="s">
        <v>599</v>
      </c>
      <c r="B73" s="4" t="s">
        <v>600</v>
      </c>
      <c r="C73" s="44" t="s">
        <v>356</v>
      </c>
      <c r="D73" s="18" t="s">
        <v>599</v>
      </c>
      <c r="E73" s="4" t="s">
        <v>600</v>
      </c>
      <c r="F73" t="str">
        <f t="shared" si="1"/>
        <v>OK</v>
      </c>
    </row>
    <row r="74" spans="1:6" x14ac:dyDescent="0.3">
      <c r="A74" s="18" t="s">
        <v>601</v>
      </c>
      <c r="B74" s="4" t="s">
        <v>602</v>
      </c>
      <c r="C74" s="17"/>
      <c r="D74" s="18" t="s">
        <v>601</v>
      </c>
      <c r="E74" s="4" t="s">
        <v>602</v>
      </c>
      <c r="F74" t="str">
        <f t="shared" si="1"/>
        <v>XXX</v>
      </c>
    </row>
    <row r="75" spans="1:6" x14ac:dyDescent="0.3">
      <c r="A75" s="18" t="s">
        <v>603</v>
      </c>
      <c r="B75" s="4" t="s">
        <v>600</v>
      </c>
      <c r="C75" s="17"/>
      <c r="D75" s="18" t="s">
        <v>603</v>
      </c>
      <c r="E75" s="4" t="s">
        <v>600</v>
      </c>
      <c r="F75" t="str">
        <f t="shared" si="1"/>
        <v>XXX</v>
      </c>
    </row>
    <row r="76" spans="1:6" x14ac:dyDescent="0.3">
      <c r="A76" s="18" t="s">
        <v>604</v>
      </c>
      <c r="B76" s="4" t="s">
        <v>605</v>
      </c>
      <c r="C76" s="17"/>
      <c r="D76" s="18" t="s">
        <v>604</v>
      </c>
      <c r="E76" s="4" t="s">
        <v>605</v>
      </c>
      <c r="F76" t="str">
        <f t="shared" si="1"/>
        <v>XXX</v>
      </c>
    </row>
    <row r="77" spans="1:6" x14ac:dyDescent="0.3">
      <c r="A77" s="18" t="s">
        <v>606</v>
      </c>
      <c r="B77" s="4" t="s">
        <v>602</v>
      </c>
      <c r="C77" s="17"/>
      <c r="D77" s="18" t="s">
        <v>606</v>
      </c>
      <c r="E77" s="4" t="s">
        <v>602</v>
      </c>
      <c r="F77" t="str">
        <f t="shared" si="1"/>
        <v>XXX</v>
      </c>
    </row>
    <row r="78" spans="1:6" x14ac:dyDescent="0.3">
      <c r="A78" s="18" t="s">
        <v>607</v>
      </c>
      <c r="B78" s="4" t="s">
        <v>600</v>
      </c>
      <c r="C78" s="17"/>
      <c r="D78" s="18" t="s">
        <v>607</v>
      </c>
      <c r="E78" s="4" t="s">
        <v>600</v>
      </c>
      <c r="F78" t="str">
        <f t="shared" si="1"/>
        <v>XXX</v>
      </c>
    </row>
    <row r="79" spans="1:6" x14ac:dyDescent="0.3">
      <c r="A79" s="18" t="s">
        <v>608</v>
      </c>
      <c r="B79" s="4" t="s">
        <v>605</v>
      </c>
      <c r="C79" s="17"/>
      <c r="D79" s="18" t="s">
        <v>608</v>
      </c>
      <c r="E79" s="4" t="s">
        <v>605</v>
      </c>
      <c r="F79" t="str">
        <f t="shared" si="1"/>
        <v>XXX</v>
      </c>
    </row>
    <row r="80" spans="1:6" x14ac:dyDescent="0.3">
      <c r="A80" s="44" t="s">
        <v>482</v>
      </c>
      <c r="B80" s="4" t="s">
        <v>609</v>
      </c>
      <c r="C80" s="44" t="s">
        <v>482</v>
      </c>
      <c r="D80" s="44" t="s">
        <v>482</v>
      </c>
      <c r="E80" s="4" t="s">
        <v>609</v>
      </c>
      <c r="F80" t="str">
        <f t="shared" si="1"/>
        <v>OK</v>
      </c>
    </row>
    <row r="81" spans="1:6" x14ac:dyDescent="0.3">
      <c r="A81" s="18" t="s">
        <v>507</v>
      </c>
      <c r="B81" s="44" t="s">
        <v>610</v>
      </c>
      <c r="C81" s="44" t="s">
        <v>610</v>
      </c>
      <c r="D81" s="18" t="s">
        <v>507</v>
      </c>
      <c r="E81" s="44" t="s">
        <v>610</v>
      </c>
      <c r="F81" t="str">
        <f t="shared" si="1"/>
        <v>OK</v>
      </c>
    </row>
    <row r="82" spans="1:6" x14ac:dyDescent="0.3">
      <c r="A82" s="17" t="s">
        <v>485</v>
      </c>
      <c r="B82" s="4" t="s">
        <v>611</v>
      </c>
      <c r="C82" s="44" t="s">
        <v>485</v>
      </c>
      <c r="D82" s="17" t="s">
        <v>485</v>
      </c>
      <c r="E82" s="4" t="s">
        <v>611</v>
      </c>
      <c r="F82" t="str">
        <f t="shared" si="1"/>
        <v>OK</v>
      </c>
    </row>
    <row r="83" spans="1:6" x14ac:dyDescent="0.3">
      <c r="A83" s="18" t="s">
        <v>612</v>
      </c>
      <c r="B83" s="4" t="s">
        <v>613</v>
      </c>
      <c r="C83" s="44" t="s">
        <v>486</v>
      </c>
      <c r="D83" s="18" t="s">
        <v>612</v>
      </c>
      <c r="E83" s="4" t="s">
        <v>613</v>
      </c>
      <c r="F83" t="str">
        <f t="shared" si="1"/>
        <v>OK</v>
      </c>
    </row>
    <row r="84" spans="1:6" x14ac:dyDescent="0.3">
      <c r="A84" s="18" t="s">
        <v>614</v>
      </c>
      <c r="B84" s="4" t="s">
        <v>615</v>
      </c>
      <c r="C84" s="44" t="s">
        <v>616</v>
      </c>
      <c r="D84" s="18" t="s">
        <v>614</v>
      </c>
      <c r="E84" s="4" t="s">
        <v>615</v>
      </c>
      <c r="F84" t="str">
        <f t="shared" si="1"/>
        <v>OK</v>
      </c>
    </row>
    <row r="85" spans="1:6" x14ac:dyDescent="0.3">
      <c r="A85" s="18" t="s">
        <v>617</v>
      </c>
      <c r="B85" s="4" t="s">
        <v>618</v>
      </c>
      <c r="C85" s="44" t="s">
        <v>489</v>
      </c>
      <c r="D85" s="18" t="s">
        <v>617</v>
      </c>
      <c r="E85" s="4" t="s">
        <v>618</v>
      </c>
      <c r="F85" t="str">
        <f t="shared" si="1"/>
        <v>OK</v>
      </c>
    </row>
    <row r="86" spans="1:6" x14ac:dyDescent="0.3">
      <c r="A86" s="18" t="s">
        <v>619</v>
      </c>
      <c r="B86" s="4" t="s">
        <v>620</v>
      </c>
      <c r="C86" s="44" t="s">
        <v>490</v>
      </c>
      <c r="D86" s="44" t="s">
        <v>619</v>
      </c>
      <c r="E86" s="4" t="s">
        <v>620</v>
      </c>
      <c r="F86" t="str">
        <f t="shared" si="1"/>
        <v>OK</v>
      </c>
    </row>
    <row r="87" spans="1:6" x14ac:dyDescent="0.3">
      <c r="A87" s="18" t="s">
        <v>621</v>
      </c>
      <c r="B87" s="4" t="s">
        <v>620</v>
      </c>
      <c r="C87" s="44" t="s">
        <v>622</v>
      </c>
      <c r="D87" s="44" t="s">
        <v>621</v>
      </c>
      <c r="E87" s="4" t="s">
        <v>620</v>
      </c>
      <c r="F87" t="str">
        <f t="shared" si="1"/>
        <v>OK</v>
      </c>
    </row>
    <row r="88" spans="1:6" x14ac:dyDescent="0.3">
      <c r="A88" s="18" t="s">
        <v>623</v>
      </c>
      <c r="B88" s="4" t="s">
        <v>624</v>
      </c>
      <c r="C88" s="44" t="s">
        <v>491</v>
      </c>
      <c r="D88" s="18" t="s">
        <v>623</v>
      </c>
      <c r="E88" s="4" t="s">
        <v>624</v>
      </c>
      <c r="F88" t="str">
        <f t="shared" si="1"/>
        <v>OK</v>
      </c>
    </row>
    <row r="89" spans="1:6" x14ac:dyDescent="0.3">
      <c r="A89" s="18" t="s">
        <v>625</v>
      </c>
      <c r="B89" s="4"/>
      <c r="C89" s="17"/>
      <c r="D89" s="18" t="s">
        <v>626</v>
      </c>
      <c r="E89" s="4"/>
      <c r="F89" t="str">
        <f t="shared" ref="F89" si="2">IF(AND(A89&lt;&gt;"",B89&lt;&gt;"",C89&lt;&gt;""),"OK","XXX")</f>
        <v>XXX</v>
      </c>
    </row>
    <row r="90" spans="1:6" x14ac:dyDescent="0.3">
      <c r="A90" s="18" t="s">
        <v>626</v>
      </c>
      <c r="B90" s="4"/>
      <c r="C90" s="17"/>
      <c r="D90" s="18" t="s">
        <v>626</v>
      </c>
      <c r="E90" s="4"/>
      <c r="F90" t="str">
        <f t="shared" si="1"/>
        <v>XXX</v>
      </c>
    </row>
    <row r="91" spans="1:6" x14ac:dyDescent="0.3">
      <c r="A91" s="18" t="s">
        <v>627</v>
      </c>
      <c r="B91" s="4"/>
      <c r="C91" s="17"/>
      <c r="D91" s="18" t="s">
        <v>627</v>
      </c>
      <c r="E91" s="4"/>
      <c r="F91" t="str">
        <f t="shared" si="1"/>
        <v>XXX</v>
      </c>
    </row>
    <row r="92" spans="1:6" x14ac:dyDescent="0.3">
      <c r="A92" s="18"/>
      <c r="B92" s="4"/>
      <c r="C92" s="17" t="s">
        <v>628</v>
      </c>
      <c r="D92" s="18"/>
      <c r="E92" s="4"/>
      <c r="F92" t="str">
        <f t="shared" si="1"/>
        <v>XXX</v>
      </c>
    </row>
    <row r="93" spans="1:6" x14ac:dyDescent="0.3">
      <c r="A93" s="18" t="s">
        <v>507</v>
      </c>
      <c r="B93" s="44" t="s">
        <v>492</v>
      </c>
      <c r="C93" s="44" t="s">
        <v>492</v>
      </c>
      <c r="D93" s="18" t="s">
        <v>507</v>
      </c>
      <c r="E93" s="4" t="s">
        <v>629</v>
      </c>
      <c r="F93" t="str">
        <f t="shared" si="1"/>
        <v>OK</v>
      </c>
    </row>
    <row r="94" spans="1:6" x14ac:dyDescent="0.3">
      <c r="A94" s="18" t="s">
        <v>507</v>
      </c>
      <c r="B94" s="4" t="s">
        <v>630</v>
      </c>
      <c r="C94" s="44" t="s">
        <v>494</v>
      </c>
      <c r="D94" s="18" t="s">
        <v>507</v>
      </c>
      <c r="E94" s="4" t="s">
        <v>630</v>
      </c>
      <c r="F94" t="str">
        <f t="shared" si="1"/>
        <v>OK</v>
      </c>
    </row>
  </sheetData>
  <autoFilter ref="A1:F94" xr:uid="{00000000-0009-0000-0000-000005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332"/>
  <sheetViews>
    <sheetView topLeftCell="A218" zoomScale="117" workbookViewId="0">
      <selection activeCell="F232" sqref="F232"/>
    </sheetView>
  </sheetViews>
  <sheetFormatPr defaultColWidth="8.6640625" defaultRowHeight="14.4" x14ac:dyDescent="0.3"/>
  <cols>
    <col min="1" max="1" width="30.44140625" customWidth="1"/>
    <col min="2" max="2" width="16.44140625" style="277" bestFit="1" customWidth="1"/>
    <col min="3" max="3" width="18.6640625" customWidth="1"/>
    <col min="4" max="4" width="17.44140625" customWidth="1"/>
    <col min="5" max="5" width="17.44140625" style="277" customWidth="1"/>
    <col min="6" max="7" width="17.44140625" customWidth="1"/>
    <col min="8" max="8" width="13.6640625" customWidth="1"/>
    <col min="9" max="9" width="23.109375" bestFit="1" customWidth="1"/>
    <col min="10" max="10" width="15.44140625" customWidth="1"/>
    <col min="11" max="11" width="10.44140625" customWidth="1"/>
    <col min="12" max="12" width="21.44140625" bestFit="1" customWidth="1"/>
    <col min="21" max="21" width="36.44140625" bestFit="1" customWidth="1"/>
    <col min="22" max="22" width="9" bestFit="1" customWidth="1"/>
    <col min="23" max="23" width="10.44140625" customWidth="1"/>
  </cols>
  <sheetData>
    <row r="1" spans="1:12" ht="61.5" customHeight="1" thickBot="1" x14ac:dyDescent="0.35">
      <c r="A1" s="1" t="s">
        <v>631</v>
      </c>
      <c r="B1" s="306" t="s">
        <v>632</v>
      </c>
      <c r="C1" s="34"/>
      <c r="D1" s="34"/>
      <c r="E1" s="34"/>
      <c r="F1" s="34"/>
      <c r="G1" s="34"/>
      <c r="H1" s="34"/>
      <c r="I1" t="s">
        <v>633</v>
      </c>
      <c r="J1" t="s">
        <v>634</v>
      </c>
      <c r="K1" s="277"/>
      <c r="L1" s="312"/>
    </row>
    <row r="2" spans="1:12" ht="36.75" customHeight="1" x14ac:dyDescent="0.3">
      <c r="A2" s="301" t="s">
        <v>635</v>
      </c>
      <c r="B2" s="302" t="s">
        <v>636</v>
      </c>
      <c r="C2" s="23" t="s">
        <v>637</v>
      </c>
      <c r="D2" s="278"/>
      <c r="E2"/>
      <c r="G2" t="s">
        <v>638</v>
      </c>
      <c r="H2" t="s">
        <v>639</v>
      </c>
      <c r="I2" t="s">
        <v>640</v>
      </c>
    </row>
    <row r="3" spans="1:12" x14ac:dyDescent="0.3">
      <c r="A3" s="217" t="s">
        <v>55</v>
      </c>
      <c r="B3" s="303">
        <v>450</v>
      </c>
      <c r="C3" s="158" t="s">
        <v>506</v>
      </c>
      <c r="D3" s="277"/>
      <c r="E3"/>
    </row>
    <row r="4" spans="1:12" x14ac:dyDescent="0.3">
      <c r="A4" s="217" t="s">
        <v>413</v>
      </c>
      <c r="B4" s="303">
        <v>450</v>
      </c>
      <c r="C4" s="158" t="s">
        <v>417</v>
      </c>
      <c r="D4" s="277"/>
      <c r="E4"/>
    </row>
    <row r="5" spans="1:12" x14ac:dyDescent="0.3">
      <c r="A5" s="217" t="s">
        <v>414</v>
      </c>
      <c r="B5" s="303">
        <v>450</v>
      </c>
      <c r="C5" s="158" t="s">
        <v>562</v>
      </c>
      <c r="D5" s="277"/>
      <c r="E5"/>
    </row>
    <row r="6" spans="1:12" x14ac:dyDescent="0.3">
      <c r="A6" t="s">
        <v>415</v>
      </c>
      <c r="B6" s="303">
        <v>240</v>
      </c>
      <c r="C6" s="158" t="s">
        <v>418</v>
      </c>
      <c r="D6" s="277"/>
      <c r="E6"/>
    </row>
    <row r="7" spans="1:12" x14ac:dyDescent="0.3">
      <c r="A7" t="s">
        <v>417</v>
      </c>
      <c r="B7" s="303">
        <v>500</v>
      </c>
      <c r="C7" s="158" t="s">
        <v>419</v>
      </c>
      <c r="D7" s="277"/>
      <c r="E7"/>
    </row>
    <row r="8" spans="1:12" x14ac:dyDescent="0.3">
      <c r="A8" t="s">
        <v>418</v>
      </c>
      <c r="B8" s="303">
        <v>600</v>
      </c>
      <c r="C8" s="158" t="s">
        <v>641</v>
      </c>
      <c r="D8" s="277"/>
      <c r="E8"/>
      <c r="F8" s="1"/>
    </row>
    <row r="9" spans="1:12" x14ac:dyDescent="0.3">
      <c r="A9" t="s">
        <v>419</v>
      </c>
      <c r="B9" s="303">
        <v>450</v>
      </c>
      <c r="C9" s="158" t="s">
        <v>422</v>
      </c>
      <c r="D9" s="277"/>
      <c r="E9"/>
    </row>
    <row r="10" spans="1:12" x14ac:dyDescent="0.3">
      <c r="A10" t="s">
        <v>420</v>
      </c>
      <c r="B10" s="303">
        <v>600</v>
      </c>
      <c r="C10" s="158" t="s">
        <v>423</v>
      </c>
      <c r="D10" s="277"/>
      <c r="E10"/>
    </row>
    <row r="11" spans="1:12" x14ac:dyDescent="0.3">
      <c r="A11" t="s">
        <v>421</v>
      </c>
      <c r="B11" s="303">
        <v>400</v>
      </c>
      <c r="C11" s="158" t="s">
        <v>424</v>
      </c>
      <c r="D11" s="277"/>
      <c r="E11"/>
    </row>
    <row r="12" spans="1:12" x14ac:dyDescent="0.3">
      <c r="A12" t="s">
        <v>422</v>
      </c>
      <c r="B12" s="303">
        <v>80</v>
      </c>
      <c r="C12" s="158" t="s">
        <v>642</v>
      </c>
      <c r="D12" s="277"/>
      <c r="E12"/>
    </row>
    <row r="13" spans="1:12" x14ac:dyDescent="0.3">
      <c r="A13" t="s">
        <v>423</v>
      </c>
      <c r="B13" s="303">
        <v>400</v>
      </c>
      <c r="C13" s="158" t="s">
        <v>426</v>
      </c>
      <c r="D13" s="277"/>
      <c r="E13"/>
    </row>
    <row r="14" spans="1:12" x14ac:dyDescent="0.3">
      <c r="A14" s="217" t="s">
        <v>424</v>
      </c>
      <c r="B14" s="303">
        <v>100</v>
      </c>
      <c r="C14" s="158" t="s">
        <v>517</v>
      </c>
      <c r="D14" s="277"/>
      <c r="E14"/>
    </row>
    <row r="15" spans="1:12" x14ac:dyDescent="0.3">
      <c r="A15" s="217" t="s">
        <v>425</v>
      </c>
      <c r="B15" s="303">
        <v>240</v>
      </c>
      <c r="C15" s="158" t="s">
        <v>428</v>
      </c>
      <c r="D15" s="277"/>
      <c r="E15"/>
    </row>
    <row r="16" spans="1:12" x14ac:dyDescent="0.3">
      <c r="A16" s="217" t="s">
        <v>426</v>
      </c>
      <c r="B16" s="303">
        <v>750</v>
      </c>
      <c r="C16" s="158" t="s">
        <v>429</v>
      </c>
      <c r="D16" s="277"/>
      <c r="E16"/>
    </row>
    <row r="17" spans="1:6" x14ac:dyDescent="0.3">
      <c r="A17" s="217" t="s">
        <v>427</v>
      </c>
      <c r="B17" s="303">
        <v>480</v>
      </c>
      <c r="C17" s="158" t="s">
        <v>432</v>
      </c>
      <c r="D17" s="277"/>
      <c r="E17"/>
    </row>
    <row r="18" spans="1:6" x14ac:dyDescent="0.3">
      <c r="A18" s="217" t="s">
        <v>428</v>
      </c>
      <c r="B18" s="303">
        <v>300</v>
      </c>
      <c r="C18" s="158" t="s">
        <v>520</v>
      </c>
      <c r="D18" s="277"/>
      <c r="E18"/>
    </row>
    <row r="19" spans="1:6" x14ac:dyDescent="0.3">
      <c r="A19" s="217" t="s">
        <v>429</v>
      </c>
      <c r="B19" s="303">
        <v>600</v>
      </c>
      <c r="C19" s="158" t="s">
        <v>435</v>
      </c>
      <c r="D19" s="277"/>
      <c r="E19"/>
    </row>
    <row r="20" spans="1:6" x14ac:dyDescent="0.3">
      <c r="A20" s="217" t="s">
        <v>430</v>
      </c>
      <c r="B20" s="303">
        <v>800</v>
      </c>
      <c r="C20" s="158" t="s">
        <v>436</v>
      </c>
      <c r="D20" s="277"/>
      <c r="E20"/>
    </row>
    <row r="21" spans="1:6" x14ac:dyDescent="0.3">
      <c r="A21" s="217" t="s">
        <v>431</v>
      </c>
      <c r="B21" s="303">
        <v>400</v>
      </c>
      <c r="C21" s="158" t="s">
        <v>438</v>
      </c>
      <c r="D21" s="277"/>
      <c r="E21"/>
    </row>
    <row r="22" spans="1:6" x14ac:dyDescent="0.3">
      <c r="A22" s="217" t="s">
        <v>432</v>
      </c>
      <c r="B22" s="303">
        <v>400</v>
      </c>
      <c r="C22" s="158" t="s">
        <v>643</v>
      </c>
      <c r="D22" s="277"/>
      <c r="E22"/>
      <c r="F22" s="1"/>
    </row>
    <row r="23" spans="1:6" x14ac:dyDescent="0.3">
      <c r="A23" s="217" t="s">
        <v>433</v>
      </c>
      <c r="B23" s="303">
        <v>800</v>
      </c>
      <c r="C23" s="158" t="s">
        <v>441</v>
      </c>
      <c r="D23" s="277"/>
      <c r="E23"/>
    </row>
    <row r="24" spans="1:6" x14ac:dyDescent="0.3">
      <c r="A24" s="217" t="s">
        <v>435</v>
      </c>
      <c r="B24" s="303">
        <v>400</v>
      </c>
      <c r="C24" s="158" t="s">
        <v>442</v>
      </c>
      <c r="D24" s="277"/>
      <c r="E24"/>
    </row>
    <row r="25" spans="1:6" x14ac:dyDescent="0.3">
      <c r="A25" s="217" t="s">
        <v>436</v>
      </c>
      <c r="B25" s="303">
        <v>400</v>
      </c>
      <c r="C25" s="158" t="s">
        <v>644</v>
      </c>
      <c r="D25" s="277"/>
      <c r="E25"/>
    </row>
    <row r="26" spans="1:6" x14ac:dyDescent="0.3">
      <c r="A26" s="217" t="s">
        <v>437</v>
      </c>
      <c r="B26" s="303">
        <v>480</v>
      </c>
      <c r="C26" s="158" t="s">
        <v>446</v>
      </c>
      <c r="D26" s="277"/>
      <c r="E26"/>
    </row>
    <row r="27" spans="1:6" x14ac:dyDescent="0.3">
      <c r="A27" s="217" t="s">
        <v>438</v>
      </c>
      <c r="B27" s="303">
        <v>480</v>
      </c>
      <c r="C27" s="158" t="s">
        <v>645</v>
      </c>
      <c r="D27" s="277"/>
      <c r="E27"/>
    </row>
    <row r="28" spans="1:6" x14ac:dyDescent="0.3">
      <c r="A28" s="217" t="s">
        <v>439</v>
      </c>
      <c r="B28" s="303">
        <v>480</v>
      </c>
      <c r="C28" s="158" t="s">
        <v>542</v>
      </c>
      <c r="D28" s="277"/>
      <c r="E28"/>
    </row>
    <row r="29" spans="1:6" x14ac:dyDescent="0.3">
      <c r="A29" s="217" t="s">
        <v>440</v>
      </c>
      <c r="B29" s="303">
        <v>480</v>
      </c>
      <c r="C29" s="158" t="s">
        <v>447</v>
      </c>
      <c r="D29" s="277"/>
      <c r="E29"/>
    </row>
    <row r="30" spans="1:6" x14ac:dyDescent="0.3">
      <c r="A30" s="217" t="s">
        <v>441</v>
      </c>
      <c r="B30" s="303">
        <v>300</v>
      </c>
      <c r="C30" s="158" t="s">
        <v>448</v>
      </c>
      <c r="D30" s="277"/>
      <c r="E30"/>
    </row>
    <row r="31" spans="1:6" x14ac:dyDescent="0.3">
      <c r="A31" s="217" t="s">
        <v>442</v>
      </c>
      <c r="B31" s="303">
        <v>300</v>
      </c>
      <c r="C31" s="158" t="s">
        <v>450</v>
      </c>
      <c r="D31" s="277"/>
      <c r="E31"/>
    </row>
    <row r="32" spans="1:6" x14ac:dyDescent="0.3">
      <c r="A32" s="217" t="s">
        <v>443</v>
      </c>
      <c r="B32" s="303">
        <v>500</v>
      </c>
      <c r="C32" s="158" t="s">
        <v>646</v>
      </c>
      <c r="D32" s="277"/>
      <c r="E32"/>
    </row>
    <row r="33" spans="1:6" x14ac:dyDescent="0.3">
      <c r="A33" s="217" t="s">
        <v>444</v>
      </c>
      <c r="B33" s="303">
        <v>500</v>
      </c>
      <c r="C33" s="158" t="s">
        <v>453</v>
      </c>
      <c r="D33" s="277"/>
      <c r="E33"/>
    </row>
    <row r="34" spans="1:6" x14ac:dyDescent="0.3">
      <c r="A34" s="217" t="s">
        <v>445</v>
      </c>
      <c r="B34" s="303">
        <v>144</v>
      </c>
      <c r="C34" s="158" t="s">
        <v>647</v>
      </c>
      <c r="D34" s="277"/>
      <c r="E34"/>
    </row>
    <row r="35" spans="1:6" x14ac:dyDescent="0.3">
      <c r="A35" s="217" t="s">
        <v>446</v>
      </c>
      <c r="B35" s="303">
        <v>240</v>
      </c>
      <c r="C35" s="158" t="s">
        <v>458</v>
      </c>
      <c r="D35" s="277"/>
      <c r="E35"/>
    </row>
    <row r="36" spans="1:6" x14ac:dyDescent="0.3">
      <c r="A36" s="217" t="s">
        <v>447</v>
      </c>
      <c r="B36" s="303">
        <v>450</v>
      </c>
      <c r="C36" s="158" t="s">
        <v>461</v>
      </c>
      <c r="D36" s="277"/>
      <c r="E36"/>
    </row>
    <row r="37" spans="1:6" x14ac:dyDescent="0.3">
      <c r="A37" s="217" t="s">
        <v>448</v>
      </c>
      <c r="B37" s="303">
        <v>80</v>
      </c>
      <c r="C37" s="158" t="s">
        <v>648</v>
      </c>
      <c r="D37" s="277"/>
      <c r="E37"/>
    </row>
    <row r="38" spans="1:6" x14ac:dyDescent="0.3">
      <c r="A38" s="217" t="s">
        <v>449</v>
      </c>
      <c r="B38" s="303">
        <v>80</v>
      </c>
      <c r="C38" s="158" t="s">
        <v>497</v>
      </c>
      <c r="D38" s="277"/>
      <c r="E38"/>
    </row>
    <row r="39" spans="1:6" x14ac:dyDescent="0.3">
      <c r="A39" s="217" t="s">
        <v>450</v>
      </c>
      <c r="B39" s="303">
        <v>400</v>
      </c>
      <c r="C39" s="158" t="s">
        <v>464</v>
      </c>
      <c r="D39" s="277"/>
      <c r="E39"/>
      <c r="F39" s="298"/>
    </row>
    <row r="40" spans="1:6" x14ac:dyDescent="0.3">
      <c r="A40" s="217" t="s">
        <v>451</v>
      </c>
      <c r="B40" s="303">
        <v>500</v>
      </c>
      <c r="C40" s="158" t="s">
        <v>465</v>
      </c>
      <c r="D40" s="277"/>
      <c r="E40"/>
    </row>
    <row r="41" spans="1:6" x14ac:dyDescent="0.3">
      <c r="A41" s="217" t="s">
        <v>452</v>
      </c>
      <c r="B41" s="303">
        <v>500</v>
      </c>
      <c r="C41" s="158" t="s">
        <v>466</v>
      </c>
      <c r="D41" s="277"/>
      <c r="E41"/>
    </row>
    <row r="42" spans="1:6" x14ac:dyDescent="0.3">
      <c r="A42" s="217" t="s">
        <v>453</v>
      </c>
      <c r="B42" s="303">
        <v>960</v>
      </c>
      <c r="C42" s="158" t="s">
        <v>649</v>
      </c>
      <c r="D42" s="277"/>
      <c r="E42"/>
      <c r="F42" s="1"/>
    </row>
    <row r="43" spans="1:6" x14ac:dyDescent="0.3">
      <c r="A43" s="217" t="s">
        <v>454</v>
      </c>
      <c r="B43" s="303">
        <v>600</v>
      </c>
      <c r="C43" s="158" t="s">
        <v>565</v>
      </c>
      <c r="D43" s="277"/>
      <c r="E43"/>
    </row>
    <row r="44" spans="1:6" x14ac:dyDescent="0.3">
      <c r="A44" s="217" t="s">
        <v>455</v>
      </c>
      <c r="B44" s="303">
        <v>200</v>
      </c>
      <c r="C44" s="158" t="s">
        <v>650</v>
      </c>
      <c r="D44" s="277"/>
      <c r="E44"/>
    </row>
    <row r="45" spans="1:6" x14ac:dyDescent="0.3">
      <c r="A45" s="217" t="s">
        <v>456</v>
      </c>
      <c r="B45" s="303">
        <v>140</v>
      </c>
      <c r="C45" s="158" t="s">
        <v>470</v>
      </c>
      <c r="D45" s="277"/>
      <c r="E45"/>
    </row>
    <row r="46" spans="1:6" x14ac:dyDescent="0.3">
      <c r="A46" s="217" t="s">
        <v>457</v>
      </c>
      <c r="B46" s="303">
        <v>120</v>
      </c>
      <c r="C46" s="158" t="s">
        <v>471</v>
      </c>
      <c r="D46" s="277"/>
      <c r="E46"/>
    </row>
    <row r="47" spans="1:6" x14ac:dyDescent="0.3">
      <c r="A47" s="217" t="s">
        <v>458</v>
      </c>
      <c r="B47" s="303">
        <v>450</v>
      </c>
      <c r="C47" s="158" t="s">
        <v>356</v>
      </c>
      <c r="D47" s="277"/>
      <c r="E47"/>
    </row>
    <row r="48" spans="1:6" x14ac:dyDescent="0.3">
      <c r="A48" s="217" t="s">
        <v>459</v>
      </c>
      <c r="B48" s="303">
        <v>240</v>
      </c>
      <c r="C48" s="158" t="s">
        <v>616</v>
      </c>
      <c r="D48" s="277"/>
      <c r="E48"/>
      <c r="F48" s="298"/>
    </row>
    <row r="49" spans="1:10" x14ac:dyDescent="0.3">
      <c r="A49" s="217" t="s">
        <v>460</v>
      </c>
      <c r="B49" s="303">
        <v>480</v>
      </c>
      <c r="C49" s="158" t="s">
        <v>482</v>
      </c>
      <c r="D49" s="277"/>
      <c r="E49"/>
    </row>
    <row r="50" spans="1:10" x14ac:dyDescent="0.3">
      <c r="A50" s="217" t="s">
        <v>461</v>
      </c>
      <c r="B50" s="303">
        <v>400</v>
      </c>
      <c r="C50" s="158" t="s">
        <v>610</v>
      </c>
      <c r="D50" s="277"/>
      <c r="E50"/>
    </row>
    <row r="51" spans="1:10" x14ac:dyDescent="0.3">
      <c r="A51" s="217" t="s">
        <v>462</v>
      </c>
      <c r="B51" s="303">
        <v>120</v>
      </c>
      <c r="C51" s="158" t="s">
        <v>483</v>
      </c>
      <c r="D51" s="277"/>
      <c r="E51"/>
    </row>
    <row r="52" spans="1:10" x14ac:dyDescent="0.3">
      <c r="A52" s="217" t="s">
        <v>497</v>
      </c>
      <c r="B52" s="303">
        <v>450</v>
      </c>
      <c r="C52" s="158" t="s">
        <v>651</v>
      </c>
      <c r="D52" s="277"/>
      <c r="E52"/>
    </row>
    <row r="53" spans="1:10" x14ac:dyDescent="0.3">
      <c r="A53" s="217" t="s">
        <v>464</v>
      </c>
      <c r="B53" s="303">
        <v>240</v>
      </c>
      <c r="C53" s="158" t="s">
        <v>486</v>
      </c>
      <c r="D53" s="277"/>
      <c r="E53"/>
    </row>
    <row r="54" spans="1:10" x14ac:dyDescent="0.3">
      <c r="A54" s="217" t="s">
        <v>465</v>
      </c>
      <c r="B54" s="303">
        <v>450</v>
      </c>
      <c r="C54" s="158" t="s">
        <v>487</v>
      </c>
      <c r="D54" s="277"/>
      <c r="E54"/>
    </row>
    <row r="55" spans="1:10" x14ac:dyDescent="0.3">
      <c r="A55" s="217" t="s">
        <v>466</v>
      </c>
      <c r="B55" s="303">
        <v>400</v>
      </c>
      <c r="C55" s="158" t="s">
        <v>652</v>
      </c>
      <c r="D55" s="277"/>
      <c r="E55"/>
    </row>
    <row r="56" spans="1:10" x14ac:dyDescent="0.3">
      <c r="A56" s="217" t="s">
        <v>467</v>
      </c>
      <c r="B56" s="303">
        <v>400</v>
      </c>
      <c r="C56" s="158" t="s">
        <v>489</v>
      </c>
      <c r="D56" s="277"/>
      <c r="E56"/>
    </row>
    <row r="57" spans="1:10" x14ac:dyDescent="0.3">
      <c r="A57" s="217" t="s">
        <v>468</v>
      </c>
      <c r="B57" s="303">
        <v>450</v>
      </c>
      <c r="C57" s="158" t="s">
        <v>490</v>
      </c>
      <c r="D57" s="277"/>
      <c r="E57"/>
      <c r="F57" s="298"/>
    </row>
    <row r="58" spans="1:10" x14ac:dyDescent="0.3">
      <c r="A58" s="217" t="s">
        <v>469</v>
      </c>
      <c r="B58" s="303">
        <v>600</v>
      </c>
      <c r="C58" s="158" t="s">
        <v>622</v>
      </c>
      <c r="D58" s="277"/>
      <c r="E58"/>
      <c r="F58" s="298"/>
    </row>
    <row r="59" spans="1:10" x14ac:dyDescent="0.3">
      <c r="A59" s="217" t="s">
        <v>470</v>
      </c>
      <c r="B59" s="303">
        <v>600</v>
      </c>
      <c r="C59" s="158" t="s">
        <v>491</v>
      </c>
      <c r="D59" s="277"/>
      <c r="E59"/>
    </row>
    <row r="60" spans="1:10" x14ac:dyDescent="0.3">
      <c r="A60" s="217" t="s">
        <v>471</v>
      </c>
      <c r="B60" s="303">
        <v>400</v>
      </c>
      <c r="C60" s="158" t="s">
        <v>653</v>
      </c>
      <c r="D60" s="277"/>
      <c r="E60"/>
    </row>
    <row r="61" spans="1:10" x14ac:dyDescent="0.3">
      <c r="A61" s="217" t="s">
        <v>472</v>
      </c>
      <c r="B61" s="303">
        <v>400</v>
      </c>
      <c r="C61" s="158" t="s">
        <v>494</v>
      </c>
      <c r="D61" s="277"/>
      <c r="E61"/>
    </row>
    <row r="62" spans="1:10" ht="15" thickBot="1" x14ac:dyDescent="0.35">
      <c r="A62" s="219" t="s">
        <v>473</v>
      </c>
      <c r="B62" s="304">
        <v>600</v>
      </c>
      <c r="D62" s="25"/>
      <c r="E62"/>
    </row>
    <row r="63" spans="1:10" x14ac:dyDescent="0.3">
      <c r="A63" t="s">
        <v>474</v>
      </c>
      <c r="B63" s="25">
        <v>600</v>
      </c>
      <c r="C63" s="25"/>
      <c r="D63" s="25"/>
      <c r="E63" s="25"/>
      <c r="F63" s="25"/>
      <c r="G63" s="25"/>
      <c r="J63" s="25"/>
    </row>
    <row r="64" spans="1:10" x14ac:dyDescent="0.3">
      <c r="A64" t="s">
        <v>58</v>
      </c>
      <c r="B64" s="25">
        <v>400</v>
      </c>
      <c r="C64" s="25"/>
      <c r="D64" s="25"/>
      <c r="E64" s="25"/>
      <c r="F64" s="25"/>
      <c r="G64" s="25"/>
      <c r="J64" s="25"/>
    </row>
    <row r="65" spans="1:10" x14ac:dyDescent="0.3">
      <c r="A65" t="s">
        <v>475</v>
      </c>
      <c r="B65" s="25">
        <v>400</v>
      </c>
      <c r="C65" s="25"/>
      <c r="D65" s="25"/>
      <c r="E65" s="25"/>
      <c r="F65" s="25"/>
      <c r="G65" s="25"/>
      <c r="J65" s="25"/>
    </row>
    <row r="66" spans="1:10" x14ac:dyDescent="0.3">
      <c r="A66" t="s">
        <v>476</v>
      </c>
      <c r="B66" s="25">
        <v>400</v>
      </c>
      <c r="C66" s="25"/>
      <c r="D66" s="25"/>
      <c r="E66" s="25"/>
      <c r="F66" s="25"/>
      <c r="G66" s="25"/>
      <c r="J66" s="25"/>
    </row>
    <row r="67" spans="1:10" x14ac:dyDescent="0.3">
      <c r="A67" t="s">
        <v>477</v>
      </c>
      <c r="B67" s="25">
        <v>400</v>
      </c>
      <c r="C67" s="25"/>
      <c r="D67" s="25"/>
      <c r="E67" s="25"/>
      <c r="F67" s="25"/>
      <c r="G67" s="25"/>
      <c r="J67" s="25"/>
    </row>
    <row r="68" spans="1:10" x14ac:dyDescent="0.3">
      <c r="A68" t="s">
        <v>478</v>
      </c>
      <c r="B68" s="25">
        <v>400</v>
      </c>
      <c r="C68" s="25"/>
      <c r="D68" s="25"/>
      <c r="E68" s="25"/>
      <c r="F68" s="25"/>
      <c r="G68" s="25"/>
      <c r="J68" s="25"/>
    </row>
    <row r="69" spans="1:10" x14ac:dyDescent="0.3">
      <c r="A69" t="s">
        <v>479</v>
      </c>
      <c r="B69" s="25">
        <v>400</v>
      </c>
      <c r="C69" s="25"/>
      <c r="D69" s="25"/>
      <c r="E69" s="25"/>
      <c r="F69" s="25"/>
      <c r="G69" s="25"/>
      <c r="J69" s="25"/>
    </row>
    <row r="70" spans="1:10" x14ac:dyDescent="0.3">
      <c r="A70" t="s">
        <v>480</v>
      </c>
      <c r="B70" s="25">
        <v>400</v>
      </c>
      <c r="C70" s="25"/>
      <c r="D70" s="25"/>
      <c r="E70" s="25"/>
      <c r="F70" s="25"/>
      <c r="G70" s="25"/>
      <c r="J70" s="25"/>
    </row>
    <row r="71" spans="1:10" x14ac:dyDescent="0.3">
      <c r="A71" t="s">
        <v>481</v>
      </c>
      <c r="B71" s="25">
        <v>400</v>
      </c>
      <c r="C71" s="25"/>
      <c r="D71" s="25"/>
      <c r="E71" s="25"/>
      <c r="F71" s="25"/>
      <c r="G71" s="25"/>
      <c r="J71" s="25"/>
    </row>
    <row r="72" spans="1:10" x14ac:dyDescent="0.3">
      <c r="A72" t="s">
        <v>482</v>
      </c>
      <c r="B72" s="25">
        <v>600</v>
      </c>
      <c r="C72" s="25"/>
      <c r="D72" s="25"/>
      <c r="E72" s="25"/>
      <c r="F72" s="25"/>
      <c r="G72" s="25"/>
      <c r="J72" s="25"/>
    </row>
    <row r="73" spans="1:10" x14ac:dyDescent="0.3">
      <c r="A73" t="s">
        <v>483</v>
      </c>
      <c r="B73" s="25">
        <v>400</v>
      </c>
      <c r="C73" s="25"/>
      <c r="D73" s="25"/>
      <c r="E73" s="25"/>
      <c r="F73" s="25"/>
      <c r="G73" s="25"/>
      <c r="J73" s="25"/>
    </row>
    <row r="74" spans="1:10" x14ac:dyDescent="0.3">
      <c r="A74" t="s">
        <v>484</v>
      </c>
      <c r="B74" s="25">
        <v>600</v>
      </c>
      <c r="C74" s="25"/>
      <c r="D74" s="25"/>
      <c r="E74" s="25"/>
      <c r="F74" s="25"/>
      <c r="G74" s="25"/>
      <c r="J74" s="25"/>
    </row>
    <row r="75" spans="1:10" x14ac:dyDescent="0.3">
      <c r="A75" t="s">
        <v>485</v>
      </c>
      <c r="B75" s="25">
        <v>450</v>
      </c>
      <c r="C75" s="25"/>
      <c r="D75" s="25"/>
      <c r="E75" s="25"/>
      <c r="F75" s="25"/>
      <c r="G75" s="25"/>
      <c r="J75" s="25"/>
    </row>
    <row r="76" spans="1:10" x14ac:dyDescent="0.3">
      <c r="A76" t="s">
        <v>486</v>
      </c>
      <c r="B76" s="25">
        <v>450</v>
      </c>
      <c r="C76" s="25"/>
      <c r="D76" s="25"/>
      <c r="E76" s="25"/>
      <c r="F76" s="25"/>
      <c r="G76" s="25"/>
      <c r="J76" s="25"/>
    </row>
    <row r="77" spans="1:10" x14ac:dyDescent="0.3">
      <c r="A77" t="s">
        <v>487</v>
      </c>
      <c r="B77" s="25">
        <v>400</v>
      </c>
      <c r="C77" s="25"/>
      <c r="D77" s="25"/>
      <c r="E77" s="25"/>
      <c r="F77" s="25"/>
      <c r="G77" s="25"/>
      <c r="J77" s="25"/>
    </row>
    <row r="78" spans="1:10" x14ac:dyDescent="0.3">
      <c r="A78" t="s">
        <v>498</v>
      </c>
      <c r="B78" s="25">
        <v>280</v>
      </c>
      <c r="C78" s="25"/>
      <c r="D78" s="25"/>
      <c r="E78" s="25"/>
      <c r="F78" s="25"/>
      <c r="G78" s="25"/>
      <c r="J78" s="25"/>
    </row>
    <row r="79" spans="1:10" x14ac:dyDescent="0.3">
      <c r="A79" t="s">
        <v>499</v>
      </c>
      <c r="B79" s="25">
        <v>280</v>
      </c>
      <c r="C79" s="25"/>
      <c r="D79" s="25"/>
      <c r="E79" s="25"/>
      <c r="F79" s="25"/>
      <c r="G79" s="25"/>
      <c r="J79" s="25"/>
    </row>
    <row r="80" spans="1:10" x14ac:dyDescent="0.3">
      <c r="A80" t="s">
        <v>500</v>
      </c>
      <c r="B80" s="25">
        <v>280</v>
      </c>
      <c r="C80" s="25"/>
      <c r="D80" s="25"/>
      <c r="E80" s="25"/>
      <c r="F80" s="25"/>
      <c r="G80" s="25"/>
      <c r="J80" s="25"/>
    </row>
    <row r="81" spans="1:10" x14ac:dyDescent="0.3">
      <c r="A81" t="s">
        <v>489</v>
      </c>
      <c r="B81" s="25">
        <v>450</v>
      </c>
      <c r="C81" s="25"/>
      <c r="D81" s="25"/>
      <c r="E81" s="25"/>
      <c r="F81" s="25"/>
      <c r="G81" s="25"/>
      <c r="J81" s="25"/>
    </row>
    <row r="82" spans="1:10" x14ac:dyDescent="0.3">
      <c r="A82" t="s">
        <v>490</v>
      </c>
      <c r="B82" s="25">
        <v>450</v>
      </c>
      <c r="C82" s="25"/>
      <c r="D82" s="25"/>
      <c r="E82" s="25"/>
      <c r="F82" s="25"/>
      <c r="G82" s="25"/>
      <c r="J82" s="25"/>
    </row>
    <row r="83" spans="1:10" x14ac:dyDescent="0.3">
      <c r="A83" t="s">
        <v>491</v>
      </c>
      <c r="B83" s="25">
        <v>240</v>
      </c>
      <c r="C83" s="25"/>
      <c r="D83" s="25"/>
      <c r="E83" s="25"/>
      <c r="F83" s="25"/>
      <c r="G83" s="25"/>
      <c r="J83" s="25"/>
    </row>
    <row r="84" spans="1:10" x14ac:dyDescent="0.3">
      <c r="A84" t="s">
        <v>492</v>
      </c>
      <c r="B84" s="25">
        <v>800</v>
      </c>
      <c r="C84" s="25"/>
      <c r="D84" s="25"/>
      <c r="E84" s="25"/>
      <c r="F84" s="25"/>
      <c r="G84" s="25"/>
      <c r="J84" s="25"/>
    </row>
    <row r="85" spans="1:10" x14ac:dyDescent="0.3">
      <c r="A85" t="s">
        <v>493</v>
      </c>
      <c r="B85" s="25">
        <v>800</v>
      </c>
      <c r="C85" s="25"/>
      <c r="D85" s="25"/>
      <c r="E85" s="25"/>
      <c r="F85" s="25"/>
      <c r="G85" s="25"/>
      <c r="J85" s="25"/>
    </row>
    <row r="86" spans="1:10" x14ac:dyDescent="0.3">
      <c r="A86" t="s">
        <v>494</v>
      </c>
      <c r="B86" s="25">
        <v>300</v>
      </c>
      <c r="C86" s="25"/>
      <c r="D86" s="25"/>
      <c r="E86" s="25"/>
      <c r="F86" s="25"/>
      <c r="G86" s="25"/>
      <c r="J86" s="25"/>
    </row>
    <row r="87" spans="1:10" x14ac:dyDescent="0.3">
      <c r="B87" s="25"/>
      <c r="C87" s="25"/>
      <c r="D87" s="25"/>
      <c r="E87" s="25"/>
      <c r="F87" s="25"/>
      <c r="G87" s="25"/>
      <c r="J87" s="25"/>
    </row>
    <row r="88" spans="1:10" x14ac:dyDescent="0.3">
      <c r="B88" s="25"/>
      <c r="C88" s="25"/>
      <c r="D88" s="25"/>
      <c r="E88" s="25"/>
      <c r="F88" s="25"/>
      <c r="G88" s="25"/>
      <c r="J88" s="25"/>
    </row>
    <row r="89" spans="1:10" x14ac:dyDescent="0.3">
      <c r="B89" s="25"/>
      <c r="C89" s="25"/>
      <c r="D89" s="25"/>
      <c r="E89" s="25"/>
      <c r="F89" s="25"/>
      <c r="G89" s="25"/>
      <c r="J89" s="25"/>
    </row>
    <row r="90" spans="1:10" x14ac:dyDescent="0.3">
      <c r="B90" s="25"/>
      <c r="C90" s="25"/>
      <c r="D90" s="25"/>
      <c r="E90" s="25"/>
      <c r="F90" s="25"/>
      <c r="G90" s="25"/>
      <c r="J90" s="25"/>
    </row>
    <row r="91" spans="1:10" x14ac:dyDescent="0.3">
      <c r="B91" s="25"/>
      <c r="C91" s="25"/>
      <c r="D91" s="25"/>
      <c r="E91" s="25"/>
      <c r="F91" s="25"/>
      <c r="G91" s="25"/>
      <c r="J91" s="25"/>
    </row>
    <row r="92" spans="1:10" x14ac:dyDescent="0.3">
      <c r="B92" s="25"/>
      <c r="C92" s="25"/>
      <c r="D92" s="25"/>
      <c r="E92" s="25"/>
      <c r="F92" s="25"/>
      <c r="G92" s="25"/>
      <c r="J92" s="25"/>
    </row>
    <row r="93" spans="1:10" x14ac:dyDescent="0.3">
      <c r="B93" s="25"/>
      <c r="C93" s="25"/>
      <c r="D93" s="25"/>
      <c r="E93" s="25"/>
      <c r="F93" s="25"/>
      <c r="G93" s="25"/>
      <c r="J93" s="25"/>
    </row>
    <row r="94" spans="1:10" x14ac:dyDescent="0.3">
      <c r="B94" s="25"/>
      <c r="C94" s="25"/>
      <c r="D94" s="25"/>
      <c r="E94" s="25"/>
      <c r="F94" s="25"/>
      <c r="G94" s="25"/>
      <c r="J94" s="25"/>
    </row>
    <row r="95" spans="1:10" x14ac:dyDescent="0.3">
      <c r="B95" s="25"/>
      <c r="C95" s="25"/>
      <c r="D95" s="25"/>
      <c r="E95" s="25"/>
      <c r="F95" s="25"/>
      <c r="G95" s="25"/>
      <c r="J95" s="25"/>
    </row>
    <row r="96" spans="1:10" x14ac:dyDescent="0.3">
      <c r="B96" s="25"/>
      <c r="C96" s="25"/>
      <c r="D96" s="25"/>
      <c r="E96" s="25"/>
      <c r="F96" s="25"/>
      <c r="G96" s="25"/>
      <c r="J96" s="25"/>
    </row>
    <row r="97" spans="1:17" x14ac:dyDescent="0.3">
      <c r="B97" s="25"/>
      <c r="C97" s="25"/>
      <c r="D97" s="25"/>
      <c r="E97" s="25"/>
      <c r="F97" s="25"/>
      <c r="G97" s="25"/>
      <c r="J97" s="25"/>
    </row>
    <row r="98" spans="1:17" x14ac:dyDescent="0.3">
      <c r="B98" s="25"/>
      <c r="C98" s="25"/>
      <c r="D98" s="25"/>
      <c r="E98" s="25"/>
      <c r="F98" s="25"/>
      <c r="G98" s="25"/>
      <c r="J98" s="25"/>
    </row>
    <row r="99" spans="1:17" x14ac:dyDescent="0.3">
      <c r="B99" s="25"/>
      <c r="C99" s="25"/>
      <c r="D99" s="25"/>
      <c r="E99" s="25"/>
      <c r="F99" s="25"/>
      <c r="G99" s="25"/>
      <c r="J99" s="25"/>
    </row>
    <row r="100" spans="1:17" x14ac:dyDescent="0.3">
      <c r="B100" s="25"/>
      <c r="C100" s="25"/>
      <c r="D100" s="25"/>
      <c r="E100" s="25"/>
      <c r="F100" s="25"/>
      <c r="G100" s="25"/>
      <c r="J100" s="25"/>
    </row>
    <row r="101" spans="1:17" x14ac:dyDescent="0.3">
      <c r="B101" s="25"/>
      <c r="C101" s="25"/>
      <c r="D101" s="25"/>
      <c r="E101" s="25"/>
      <c r="F101" s="25"/>
      <c r="G101" s="25"/>
      <c r="J101" s="25"/>
    </row>
    <row r="102" spans="1:17" x14ac:dyDescent="0.3">
      <c r="B102" s="25"/>
      <c r="C102" s="25"/>
      <c r="D102" s="25"/>
      <c r="E102" s="25"/>
      <c r="F102" s="25"/>
      <c r="G102" s="25"/>
      <c r="J102" s="25"/>
    </row>
    <row r="103" spans="1:17" x14ac:dyDescent="0.3">
      <c r="B103" s="25"/>
      <c r="C103" s="25"/>
      <c r="D103" s="25"/>
      <c r="E103" s="25"/>
      <c r="F103" s="25"/>
      <c r="G103" s="25"/>
      <c r="J103" s="25"/>
    </row>
    <row r="104" spans="1:17" x14ac:dyDescent="0.3">
      <c r="B104" s="25"/>
      <c r="C104" s="25"/>
      <c r="D104" s="25"/>
      <c r="E104" s="25"/>
      <c r="F104" s="25"/>
      <c r="G104" s="25"/>
      <c r="J104" s="25"/>
    </row>
    <row r="105" spans="1:17" x14ac:dyDescent="0.3">
      <c r="B105" s="25"/>
      <c r="C105" s="25"/>
      <c r="D105" s="25"/>
      <c r="E105" s="25"/>
      <c r="F105" s="25"/>
      <c r="G105" s="25"/>
      <c r="J105" s="25"/>
    </row>
    <row r="106" spans="1:17" x14ac:dyDescent="0.3">
      <c r="B106" s="25"/>
      <c r="C106" s="25"/>
      <c r="D106" s="25"/>
      <c r="E106" s="25"/>
      <c r="F106" s="25"/>
      <c r="G106" s="25"/>
      <c r="J106" s="25"/>
    </row>
    <row r="107" spans="1:17" x14ac:dyDescent="0.3">
      <c r="B107" s="25"/>
      <c r="C107" s="25"/>
      <c r="D107" s="25"/>
      <c r="E107" s="25"/>
      <c r="F107" s="25"/>
      <c r="G107" s="25"/>
      <c r="J107" s="25"/>
    </row>
    <row r="108" spans="1:17" x14ac:dyDescent="0.3">
      <c r="A108" s="3"/>
      <c r="B108" s="25"/>
      <c r="C108" s="25"/>
      <c r="D108" s="25"/>
      <c r="E108" s="25"/>
      <c r="F108" s="25"/>
      <c r="G108" s="25"/>
      <c r="J108" s="25"/>
    </row>
    <row r="109" spans="1:17" x14ac:dyDescent="0.3">
      <c r="A109" s="1" t="s">
        <v>654</v>
      </c>
      <c r="B109" s="25"/>
      <c r="C109" s="25"/>
      <c r="D109" s="25"/>
      <c r="E109" s="25"/>
      <c r="F109" s="25"/>
      <c r="G109" s="25"/>
      <c r="H109" s="1"/>
      <c r="I109" s="1"/>
      <c r="J109" s="24"/>
    </row>
    <row r="110" spans="1:17" ht="15" thickBot="1" x14ac:dyDescent="0.35">
      <c r="A110" s="1" t="s">
        <v>655</v>
      </c>
      <c r="B110" s="24" t="s">
        <v>656</v>
      </c>
      <c r="C110" t="s">
        <v>26</v>
      </c>
      <c r="D110" t="s">
        <v>657</v>
      </c>
      <c r="E110" s="25" t="s">
        <v>658</v>
      </c>
    </row>
    <row r="111" spans="1:17" ht="15" thickBot="1" x14ac:dyDescent="0.35">
      <c r="A111" s="215" t="s">
        <v>17</v>
      </c>
      <c r="B111" s="279" t="s">
        <v>17</v>
      </c>
      <c r="C111" s="216">
        <v>40.5</v>
      </c>
      <c r="D111" s="292">
        <v>50</v>
      </c>
      <c r="E111" s="293">
        <v>40</v>
      </c>
    </row>
    <row r="112" spans="1:17" ht="15" thickBot="1" x14ac:dyDescent="0.35">
      <c r="A112" s="217" t="s">
        <v>103</v>
      </c>
      <c r="B112" s="25" t="s">
        <v>659</v>
      </c>
      <c r="C112" s="218">
        <v>47.5</v>
      </c>
      <c r="D112" s="294">
        <v>62</v>
      </c>
      <c r="E112" s="295">
        <v>40</v>
      </c>
      <c r="L112" s="215"/>
      <c r="M112" s="217"/>
      <c r="N112" s="217"/>
      <c r="O112" s="217"/>
      <c r="P112" s="217"/>
      <c r="Q112" s="219"/>
    </row>
    <row r="113" spans="1:10" x14ac:dyDescent="0.3">
      <c r="A113" s="217" t="s">
        <v>104</v>
      </c>
      <c r="B113" s="25" t="s">
        <v>104</v>
      </c>
      <c r="C113" s="218">
        <v>40.5</v>
      </c>
      <c r="D113" s="294">
        <v>50</v>
      </c>
      <c r="E113" s="295">
        <v>40</v>
      </c>
      <c r="F113" s="27"/>
      <c r="G113" s="27"/>
    </row>
    <row r="114" spans="1:10" x14ac:dyDescent="0.3">
      <c r="A114" s="217" t="s">
        <v>105</v>
      </c>
      <c r="B114" s="25" t="s">
        <v>660</v>
      </c>
      <c r="C114" s="218">
        <v>47.5</v>
      </c>
      <c r="D114" s="294">
        <v>62</v>
      </c>
      <c r="E114" s="295">
        <v>40</v>
      </c>
      <c r="F114" s="27"/>
      <c r="G114" s="27"/>
      <c r="H114" s="130"/>
    </row>
    <row r="115" spans="1:10" x14ac:dyDescent="0.3">
      <c r="A115" s="217" t="s">
        <v>107</v>
      </c>
      <c r="B115" s="25" t="s">
        <v>661</v>
      </c>
      <c r="C115" s="218">
        <v>40.5</v>
      </c>
      <c r="D115" s="294">
        <v>50</v>
      </c>
      <c r="E115" s="295">
        <v>40</v>
      </c>
    </row>
    <row r="116" spans="1:10" ht="15" thickBot="1" x14ac:dyDescent="0.35">
      <c r="A116" s="219" t="s">
        <v>109</v>
      </c>
      <c r="B116" s="280" t="s">
        <v>662</v>
      </c>
      <c r="C116" s="220">
        <v>40.5</v>
      </c>
      <c r="D116" s="296">
        <v>50</v>
      </c>
      <c r="E116" s="297">
        <v>40</v>
      </c>
      <c r="J116" s="33"/>
    </row>
    <row r="117" spans="1:10" x14ac:dyDescent="0.3">
      <c r="A117" s="3"/>
      <c r="B117" s="25"/>
      <c r="E117" s="25"/>
      <c r="J117" s="29"/>
    </row>
    <row r="118" spans="1:10" x14ac:dyDescent="0.3">
      <c r="A118" s="3"/>
      <c r="B118" s="25"/>
      <c r="E118" s="25"/>
      <c r="J118" s="29"/>
    </row>
    <row r="119" spans="1:10" x14ac:dyDescent="0.3">
      <c r="A119" s="3"/>
      <c r="B119" s="25"/>
      <c r="E119" s="25"/>
      <c r="J119" s="20"/>
    </row>
    <row r="120" spans="1:10" ht="15" thickBot="1" x14ac:dyDescent="0.35">
      <c r="A120" s="1" t="s">
        <v>663</v>
      </c>
      <c r="B120" s="24" t="s">
        <v>664</v>
      </c>
      <c r="C120" s="1" t="s">
        <v>665</v>
      </c>
      <c r="E120" s="25"/>
      <c r="J120" s="20"/>
    </row>
    <row r="121" spans="1:10" x14ac:dyDescent="0.3">
      <c r="A121" s="215" t="s">
        <v>53</v>
      </c>
      <c r="B121" s="281">
        <v>0</v>
      </c>
      <c r="C121" s="222">
        <f t="shared" ref="C121:C126" si="0">B121/(26*20)</f>
        <v>0</v>
      </c>
      <c r="E121" s="25"/>
      <c r="J121" s="20"/>
    </row>
    <row r="122" spans="1:10" x14ac:dyDescent="0.3">
      <c r="A122" s="217" t="s">
        <v>67</v>
      </c>
      <c r="B122" s="282">
        <v>2500</v>
      </c>
      <c r="C122" s="223">
        <f t="shared" si="0"/>
        <v>4.8076923076923075</v>
      </c>
      <c r="E122" s="25"/>
      <c r="J122" s="20"/>
    </row>
    <row r="123" spans="1:10" x14ac:dyDescent="0.3">
      <c r="A123" s="217" t="s">
        <v>83</v>
      </c>
      <c r="B123" s="282">
        <v>2500</v>
      </c>
      <c r="C123" s="223">
        <f t="shared" si="0"/>
        <v>4.8076923076923075</v>
      </c>
      <c r="E123" s="25"/>
    </row>
    <row r="124" spans="1:10" x14ac:dyDescent="0.3">
      <c r="A124" s="217" t="s">
        <v>76</v>
      </c>
      <c r="B124" s="282">
        <v>3900</v>
      </c>
      <c r="C124" s="223">
        <f t="shared" si="0"/>
        <v>7.5</v>
      </c>
      <c r="E124" s="25"/>
    </row>
    <row r="125" spans="1:10" x14ac:dyDescent="0.3">
      <c r="A125" s="217" t="s">
        <v>94</v>
      </c>
      <c r="B125" s="282">
        <v>2700</v>
      </c>
      <c r="C125" s="223">
        <f t="shared" si="0"/>
        <v>5.1923076923076925</v>
      </c>
      <c r="E125" s="25"/>
    </row>
    <row r="126" spans="1:10" ht="15" thickBot="1" x14ac:dyDescent="0.35">
      <c r="A126" s="219" t="s">
        <v>89</v>
      </c>
      <c r="B126" s="283">
        <v>5300</v>
      </c>
      <c r="C126" s="224">
        <f t="shared" si="0"/>
        <v>10.192307692307692</v>
      </c>
      <c r="E126" s="25"/>
    </row>
    <row r="127" spans="1:10" x14ac:dyDescent="0.3">
      <c r="A127" s="3"/>
      <c r="B127" s="25"/>
      <c r="E127" s="25"/>
    </row>
    <row r="128" spans="1:10" x14ac:dyDescent="0.3">
      <c r="A128" s="3"/>
      <c r="B128" s="25"/>
      <c r="E128" s="25"/>
    </row>
    <row r="129" spans="1:18" s="23" customFormat="1" ht="49.5" customHeight="1" x14ac:dyDescent="0.3">
      <c r="A129" s="133" t="s">
        <v>666</v>
      </c>
      <c r="B129" s="133" t="s">
        <v>388</v>
      </c>
      <c r="C129" s="133" t="s">
        <v>96</v>
      </c>
      <c r="D129" s="133" t="s">
        <v>98</v>
      </c>
      <c r="E129" s="133" t="s">
        <v>47</v>
      </c>
      <c r="F129" s="133" t="s">
        <v>667</v>
      </c>
      <c r="G129" s="133" t="s">
        <v>668</v>
      </c>
      <c r="H129" s="134" t="s">
        <v>669</v>
      </c>
      <c r="P129" s="133"/>
      <c r="Q129" s="133"/>
      <c r="R129" s="133"/>
    </row>
    <row r="130" spans="1:18" x14ac:dyDescent="0.3">
      <c r="A130" s="25" t="s">
        <v>670</v>
      </c>
      <c r="B130" s="26" t="s">
        <v>97</v>
      </c>
      <c r="C130" s="25" t="s">
        <v>671</v>
      </c>
      <c r="D130" s="185">
        <v>2.5277777777777777</v>
      </c>
      <c r="E130" s="28">
        <v>1.2</v>
      </c>
      <c r="F130" s="50">
        <v>3</v>
      </c>
      <c r="G130" s="49">
        <v>36</v>
      </c>
      <c r="H130">
        <v>0.87</v>
      </c>
      <c r="I130" s="130">
        <f t="shared" ref="I130:I141" si="1">E130+H130</f>
        <v>2.0699999999999998</v>
      </c>
      <c r="J130">
        <v>2.0699999999999998</v>
      </c>
      <c r="K130">
        <v>1.2</v>
      </c>
      <c r="L130">
        <f>J130-K130</f>
        <v>0.86999999999999988</v>
      </c>
      <c r="P130" s="25"/>
      <c r="Q130" s="25"/>
    </row>
    <row r="131" spans="1:18" x14ac:dyDescent="0.3">
      <c r="A131" s="25" t="s">
        <v>99</v>
      </c>
      <c r="B131" s="26" t="s">
        <v>97</v>
      </c>
      <c r="C131" s="25" t="s">
        <v>672</v>
      </c>
      <c r="D131" s="185">
        <v>3.046875</v>
      </c>
      <c r="E131" s="28">
        <v>1.2</v>
      </c>
      <c r="F131" s="50">
        <v>3</v>
      </c>
      <c r="G131" s="49">
        <v>27</v>
      </c>
      <c r="H131">
        <v>1.05</v>
      </c>
      <c r="I131" s="130">
        <f t="shared" si="1"/>
        <v>2.25</v>
      </c>
      <c r="J131">
        <v>2.25</v>
      </c>
      <c r="K131">
        <v>1.2</v>
      </c>
      <c r="L131">
        <f>J131-K131</f>
        <v>1.05</v>
      </c>
      <c r="P131" s="25"/>
      <c r="Q131" s="25"/>
    </row>
    <row r="132" spans="1:18" x14ac:dyDescent="0.3">
      <c r="A132" s="25" t="s">
        <v>673</v>
      </c>
      <c r="B132" s="26" t="s">
        <v>97</v>
      </c>
      <c r="C132" s="25" t="s">
        <v>674</v>
      </c>
      <c r="D132" s="185">
        <v>3.1111111111111112</v>
      </c>
      <c r="E132" s="28">
        <v>1.21</v>
      </c>
      <c r="F132" s="50">
        <v>3</v>
      </c>
      <c r="G132" s="49">
        <v>24</v>
      </c>
      <c r="H132">
        <v>1.88</v>
      </c>
      <c r="I132" s="130">
        <f t="shared" si="1"/>
        <v>3.09</v>
      </c>
      <c r="P132" s="25"/>
      <c r="Q132" s="25"/>
    </row>
    <row r="133" spans="1:18" x14ac:dyDescent="0.3">
      <c r="A133" s="25" t="s">
        <v>675</v>
      </c>
      <c r="B133" s="26" t="s">
        <v>97</v>
      </c>
      <c r="C133" s="25" t="s">
        <v>676</v>
      </c>
      <c r="D133" s="185">
        <v>3.0092592592592591</v>
      </c>
      <c r="E133" s="28">
        <v>1.2</v>
      </c>
      <c r="F133" s="50">
        <v>3</v>
      </c>
      <c r="G133" s="49">
        <v>27</v>
      </c>
      <c r="H133">
        <v>1.41</v>
      </c>
      <c r="I133" s="130">
        <f t="shared" si="1"/>
        <v>2.61</v>
      </c>
      <c r="J133">
        <v>2.61</v>
      </c>
      <c r="K133">
        <v>1.2</v>
      </c>
      <c r="L133">
        <f>J133-K133</f>
        <v>1.41</v>
      </c>
      <c r="P133" s="25"/>
      <c r="Q133" s="25"/>
    </row>
    <row r="134" spans="1:18" x14ac:dyDescent="0.3">
      <c r="A134" s="25" t="s">
        <v>677</v>
      </c>
      <c r="B134" s="26" t="s">
        <v>97</v>
      </c>
      <c r="C134" s="25" t="s">
        <v>678</v>
      </c>
      <c r="D134" s="185">
        <v>1.5972222222222223</v>
      </c>
      <c r="E134" s="28">
        <v>0.7</v>
      </c>
      <c r="F134" s="50">
        <v>3</v>
      </c>
      <c r="G134" s="49">
        <v>48</v>
      </c>
      <c r="H134">
        <v>1.88</v>
      </c>
      <c r="I134" s="130">
        <f t="shared" si="1"/>
        <v>2.58</v>
      </c>
      <c r="K134">
        <v>0.7</v>
      </c>
      <c r="P134" s="25"/>
      <c r="Q134" s="25"/>
    </row>
    <row r="135" spans="1:18" x14ac:dyDescent="0.3">
      <c r="A135" s="25" t="s">
        <v>376</v>
      </c>
      <c r="B135" s="26" t="s">
        <v>679</v>
      </c>
      <c r="C135" s="25" t="s">
        <v>680</v>
      </c>
      <c r="D135" s="185">
        <v>3.4722222222222223</v>
      </c>
      <c r="E135" s="28">
        <v>2.2999999999999998</v>
      </c>
      <c r="F135" s="50">
        <v>3</v>
      </c>
      <c r="G135" s="49">
        <v>24</v>
      </c>
      <c r="H135">
        <v>1.96</v>
      </c>
      <c r="I135" s="130">
        <f t="shared" si="1"/>
        <v>4.26</v>
      </c>
      <c r="J135">
        <v>4.26</v>
      </c>
      <c r="K135">
        <v>2.2999999999999998</v>
      </c>
      <c r="L135">
        <f>J135-K135</f>
        <v>1.96</v>
      </c>
      <c r="P135" s="25"/>
      <c r="Q135" s="25"/>
    </row>
    <row r="136" spans="1:18" x14ac:dyDescent="0.3">
      <c r="A136" s="25" t="s">
        <v>681</v>
      </c>
      <c r="B136" s="26" t="s">
        <v>97</v>
      </c>
      <c r="C136" s="118" t="s">
        <v>682</v>
      </c>
      <c r="D136" s="186">
        <v>4.7019675925925926</v>
      </c>
      <c r="E136" s="131">
        <v>1.45</v>
      </c>
      <c r="F136" s="50">
        <v>3</v>
      </c>
      <c r="G136" s="49">
        <v>18</v>
      </c>
      <c r="H136">
        <v>1.85</v>
      </c>
      <c r="I136" s="130">
        <f t="shared" si="1"/>
        <v>3.3</v>
      </c>
      <c r="J136">
        <v>3.3</v>
      </c>
      <c r="K136">
        <v>1.45</v>
      </c>
      <c r="L136">
        <f>J136-K136</f>
        <v>1.8499999999999999</v>
      </c>
      <c r="P136" s="25"/>
      <c r="Q136" s="25"/>
    </row>
    <row r="137" spans="1:18" x14ac:dyDescent="0.3">
      <c r="A137" s="170" t="s">
        <v>683</v>
      </c>
      <c r="B137" s="170" t="s">
        <v>684</v>
      </c>
      <c r="C137" s="132" t="s">
        <v>685</v>
      </c>
      <c r="D137" s="187">
        <v>4.552083333333333</v>
      </c>
      <c r="E137" s="171">
        <v>1.9650000000000001</v>
      </c>
      <c r="F137" s="172">
        <v>4.5</v>
      </c>
      <c r="G137" s="170">
        <v>16</v>
      </c>
      <c r="H137" s="169">
        <v>0</v>
      </c>
      <c r="I137" s="130">
        <f t="shared" si="1"/>
        <v>1.9650000000000001</v>
      </c>
      <c r="P137" s="25"/>
      <c r="Q137" s="25"/>
    </row>
    <row r="138" spans="1:18" x14ac:dyDescent="0.3">
      <c r="A138" s="170" t="s">
        <v>686</v>
      </c>
      <c r="B138" s="170" t="s">
        <v>687</v>
      </c>
      <c r="C138" s="132" t="s">
        <v>685</v>
      </c>
      <c r="D138" s="187">
        <v>4.552083333333333</v>
      </c>
      <c r="E138" s="171">
        <v>1.9650000000000001</v>
      </c>
      <c r="F138" s="172">
        <v>4.5</v>
      </c>
      <c r="G138" s="170">
        <v>16</v>
      </c>
      <c r="H138" s="169">
        <v>0</v>
      </c>
      <c r="I138" s="130">
        <f t="shared" si="1"/>
        <v>1.9650000000000001</v>
      </c>
      <c r="P138" s="25"/>
      <c r="Q138" s="25"/>
    </row>
    <row r="139" spans="1:18" x14ac:dyDescent="0.3">
      <c r="A139" s="170" t="s">
        <v>688</v>
      </c>
      <c r="B139" s="170" t="s">
        <v>689</v>
      </c>
      <c r="C139" s="132" t="s">
        <v>690</v>
      </c>
      <c r="D139" s="187">
        <v>5.2337962962962967</v>
      </c>
      <c r="E139" s="171">
        <v>1.782</v>
      </c>
      <c r="F139" s="172">
        <v>4.5</v>
      </c>
      <c r="G139" s="170">
        <v>15</v>
      </c>
      <c r="H139" s="169">
        <v>0</v>
      </c>
      <c r="I139" s="130">
        <f t="shared" si="1"/>
        <v>1.782</v>
      </c>
      <c r="P139" s="25"/>
      <c r="Q139" s="25"/>
    </row>
    <row r="140" spans="1:18" x14ac:dyDescent="0.3">
      <c r="A140" s="25" t="s">
        <v>691</v>
      </c>
      <c r="B140" s="26" t="s">
        <v>692</v>
      </c>
      <c r="C140" s="25" t="s">
        <v>693</v>
      </c>
      <c r="D140" s="185">
        <v>26.666666666666668</v>
      </c>
      <c r="E140" s="28">
        <v>24</v>
      </c>
      <c r="F140" s="50">
        <v>0.5</v>
      </c>
      <c r="G140" s="49">
        <v>3</v>
      </c>
      <c r="H140">
        <v>12.68</v>
      </c>
      <c r="I140" s="130">
        <f t="shared" si="1"/>
        <v>36.68</v>
      </c>
      <c r="J140">
        <v>36.68</v>
      </c>
      <c r="K140">
        <v>24</v>
      </c>
      <c r="L140">
        <f>J140-K140</f>
        <v>12.68</v>
      </c>
      <c r="P140" s="25"/>
      <c r="Q140" s="25"/>
    </row>
    <row r="141" spans="1:18" x14ac:dyDescent="0.3">
      <c r="A141" s="25" t="s">
        <v>694</v>
      </c>
      <c r="B141" s="26" t="s">
        <v>695</v>
      </c>
      <c r="C141" s="25" t="s">
        <v>696</v>
      </c>
      <c r="D141" s="185">
        <v>2.5277777777777777</v>
      </c>
      <c r="E141" s="28">
        <v>0</v>
      </c>
      <c r="F141" s="50">
        <v>3</v>
      </c>
      <c r="G141" s="49">
        <v>30</v>
      </c>
      <c r="H141">
        <v>1.88</v>
      </c>
      <c r="I141" s="130">
        <f t="shared" si="1"/>
        <v>1.88</v>
      </c>
      <c r="P141" s="25"/>
      <c r="Q141" s="25"/>
    </row>
    <row r="142" spans="1:18" x14ac:dyDescent="0.3">
      <c r="A142" s="25"/>
      <c r="B142" s="26"/>
      <c r="C142" s="25"/>
      <c r="D142" s="27"/>
      <c r="E142" s="28"/>
      <c r="F142" s="168"/>
      <c r="G142" s="26"/>
    </row>
    <row r="143" spans="1:18" x14ac:dyDescent="0.3">
      <c r="A143" s="3"/>
      <c r="B143" s="25"/>
      <c r="E143" s="25"/>
    </row>
    <row r="144" spans="1:18" x14ac:dyDescent="0.3">
      <c r="B144" s="25"/>
      <c r="E144" s="25"/>
    </row>
    <row r="145" spans="1:7" x14ac:dyDescent="0.3">
      <c r="A145" s="1" t="s">
        <v>697</v>
      </c>
      <c r="B145" s="24" t="s">
        <v>96</v>
      </c>
      <c r="C145" s="24" t="s">
        <v>698</v>
      </c>
      <c r="D145" s="24" t="s">
        <v>699</v>
      </c>
      <c r="E145" s="24" t="s">
        <v>700</v>
      </c>
      <c r="F145" s="122" t="s">
        <v>701</v>
      </c>
      <c r="G145" s="122" t="s">
        <v>702</v>
      </c>
    </row>
    <row r="146" spans="1:7" ht="15" x14ac:dyDescent="0.3">
      <c r="A146" s="25" t="s">
        <v>703</v>
      </c>
      <c r="B146" s="25" t="s">
        <v>704</v>
      </c>
      <c r="C146" s="25">
        <v>1</v>
      </c>
      <c r="D146" s="27">
        <v>3.7037037037037037</v>
      </c>
      <c r="E146" s="27">
        <v>2.108421052631579</v>
      </c>
      <c r="F146" s="119" t="s">
        <v>705</v>
      </c>
      <c r="G146" s="120">
        <v>18</v>
      </c>
    </row>
    <row r="147" spans="1:7" ht="15" x14ac:dyDescent="0.3">
      <c r="A147" s="25" t="s">
        <v>706</v>
      </c>
      <c r="B147" s="25" t="s">
        <v>707</v>
      </c>
      <c r="C147" s="25">
        <v>2</v>
      </c>
      <c r="D147" s="27">
        <v>1.8518518518518519</v>
      </c>
      <c r="E147" s="27">
        <v>1.8710526315789473</v>
      </c>
      <c r="F147" s="119" t="s">
        <v>705</v>
      </c>
      <c r="G147" s="120">
        <v>50</v>
      </c>
    </row>
    <row r="148" spans="1:7" ht="15" x14ac:dyDescent="0.3">
      <c r="A148" s="25" t="s">
        <v>708</v>
      </c>
      <c r="B148" s="25" t="s">
        <v>709</v>
      </c>
      <c r="C148" s="25">
        <v>2</v>
      </c>
      <c r="D148" s="27">
        <v>2.4508101851851851</v>
      </c>
      <c r="E148" s="27">
        <v>2.1052631578947367</v>
      </c>
      <c r="F148" s="119" t="s">
        <v>705</v>
      </c>
      <c r="G148" s="120">
        <v>40</v>
      </c>
    </row>
    <row r="149" spans="1:7" ht="15" x14ac:dyDescent="0.3">
      <c r="A149" s="25" t="s">
        <v>710</v>
      </c>
      <c r="B149" s="25" t="s">
        <v>711</v>
      </c>
      <c r="C149" s="25">
        <v>2</v>
      </c>
      <c r="D149" s="27">
        <v>3.2083333333333335</v>
      </c>
      <c r="E149" s="27">
        <v>3.7</v>
      </c>
      <c r="F149" s="119" t="s">
        <v>705</v>
      </c>
      <c r="G149" s="120">
        <v>28</v>
      </c>
    </row>
    <row r="150" spans="1:7" ht="15" x14ac:dyDescent="0.3">
      <c r="A150" s="25" t="s">
        <v>712</v>
      </c>
      <c r="B150" s="25" t="s">
        <v>713</v>
      </c>
      <c r="C150" s="25">
        <v>3</v>
      </c>
      <c r="D150" s="27">
        <f>(39*7*10)/1728</f>
        <v>1.5798611111111112</v>
      </c>
      <c r="E150" s="27">
        <v>1.2878947368421052</v>
      </c>
      <c r="F150" s="119" t="s">
        <v>705</v>
      </c>
      <c r="G150" s="120">
        <v>54</v>
      </c>
    </row>
    <row r="151" spans="1:7" ht="15" x14ac:dyDescent="0.3">
      <c r="A151" s="25" t="s">
        <v>18</v>
      </c>
      <c r="B151" s="25" t="s">
        <v>714</v>
      </c>
      <c r="C151" s="25">
        <v>4</v>
      </c>
      <c r="D151" s="27">
        <v>0.92592592592592593</v>
      </c>
      <c r="E151" s="27">
        <v>0.94736842105263153</v>
      </c>
      <c r="F151" s="119" t="s">
        <v>705</v>
      </c>
      <c r="G151" s="120">
        <v>76</v>
      </c>
    </row>
    <row r="152" spans="1:7" ht="15" x14ac:dyDescent="0.3">
      <c r="A152" s="25" t="s">
        <v>715</v>
      </c>
      <c r="B152" s="25" t="s">
        <v>716</v>
      </c>
      <c r="C152" s="25">
        <v>4</v>
      </c>
      <c r="D152" s="27">
        <v>1.6041666666666667</v>
      </c>
      <c r="E152" s="27">
        <v>1.4336842105263159</v>
      </c>
      <c r="F152" s="119" t="s">
        <v>705</v>
      </c>
      <c r="G152" s="120">
        <v>48</v>
      </c>
    </row>
    <row r="153" spans="1:7" ht="15" x14ac:dyDescent="0.3">
      <c r="A153" s="25" t="s">
        <v>717</v>
      </c>
      <c r="B153" s="25" t="s">
        <v>718</v>
      </c>
      <c r="C153" s="25">
        <v>4</v>
      </c>
      <c r="D153" s="27">
        <v>1.693287037037037</v>
      </c>
      <c r="E153" s="27">
        <v>1.5584210526315789</v>
      </c>
      <c r="F153" s="119" t="s">
        <v>705</v>
      </c>
      <c r="G153" s="120">
        <v>48</v>
      </c>
    </row>
    <row r="154" spans="1:7" ht="15" x14ac:dyDescent="0.3">
      <c r="A154" s="25" t="s">
        <v>719</v>
      </c>
      <c r="B154" s="25" t="s">
        <v>720</v>
      </c>
      <c r="C154" s="25">
        <v>5</v>
      </c>
      <c r="D154" s="27">
        <v>0.97222222222222221</v>
      </c>
      <c r="E154" s="27">
        <v>0.76578947368421058</v>
      </c>
      <c r="F154" s="119" t="s">
        <v>705</v>
      </c>
      <c r="G154" s="120">
        <v>80</v>
      </c>
    </row>
    <row r="155" spans="1:7" ht="15" x14ac:dyDescent="0.3">
      <c r="A155" s="25" t="s">
        <v>721</v>
      </c>
      <c r="B155" s="25" t="s">
        <v>722</v>
      </c>
      <c r="C155" s="25">
        <v>8</v>
      </c>
      <c r="D155" s="27">
        <v>0.47453703703703703</v>
      </c>
      <c r="E155" s="27">
        <v>0.61684210526315797</v>
      </c>
      <c r="F155" s="119" t="s">
        <v>705</v>
      </c>
      <c r="G155" s="120">
        <v>140</v>
      </c>
    </row>
    <row r="156" spans="1:7" x14ac:dyDescent="0.3">
      <c r="B156" s="25"/>
      <c r="E156" s="25"/>
    </row>
    <row r="157" spans="1:7" x14ac:dyDescent="0.3">
      <c r="B157" s="25"/>
      <c r="E157" s="25"/>
    </row>
    <row r="158" spans="1:7" x14ac:dyDescent="0.3">
      <c r="A158" s="24" t="s">
        <v>355</v>
      </c>
      <c r="B158" s="25"/>
      <c r="E158" s="25"/>
    </row>
    <row r="159" spans="1:7" x14ac:dyDescent="0.3">
      <c r="A159" t="s">
        <v>26</v>
      </c>
      <c r="B159" s="25"/>
      <c r="E159" s="25"/>
    </row>
    <row r="160" spans="1:7" x14ac:dyDescent="0.3">
      <c r="A160" t="s">
        <v>657</v>
      </c>
      <c r="B160" s="25"/>
      <c r="E160" s="25"/>
    </row>
    <row r="161" spans="1:6" x14ac:dyDescent="0.3">
      <c r="A161" t="s">
        <v>658</v>
      </c>
      <c r="B161" s="25"/>
      <c r="E161" s="25"/>
    </row>
    <row r="162" spans="1:6" x14ac:dyDescent="0.3">
      <c r="B162" s="25"/>
      <c r="E162" s="25"/>
    </row>
    <row r="163" spans="1:6" x14ac:dyDescent="0.3">
      <c r="A163" s="1" t="s">
        <v>723</v>
      </c>
      <c r="B163" s="25"/>
      <c r="E163" s="25"/>
    </row>
    <row r="164" spans="1:6" x14ac:dyDescent="0.3">
      <c r="A164" s="9" t="s">
        <v>97</v>
      </c>
      <c r="B164" s="26" t="s">
        <v>724</v>
      </c>
      <c r="C164" t="s">
        <v>725</v>
      </c>
      <c r="E164" s="25"/>
    </row>
    <row r="165" spans="1:6" x14ac:dyDescent="0.3">
      <c r="A165" s="9" t="s">
        <v>679</v>
      </c>
      <c r="B165" s="26" t="s">
        <v>726</v>
      </c>
      <c r="C165" t="s">
        <v>725</v>
      </c>
      <c r="E165" s="25"/>
    </row>
    <row r="166" spans="1:6" x14ac:dyDescent="0.3">
      <c r="A166" s="9" t="s">
        <v>727</v>
      </c>
      <c r="B166" s="26" t="s">
        <v>728</v>
      </c>
      <c r="C166" t="s">
        <v>729</v>
      </c>
      <c r="E166" s="25"/>
    </row>
    <row r="167" spans="1:6" x14ac:dyDescent="0.3">
      <c r="A167" s="9" t="s">
        <v>730</v>
      </c>
      <c r="B167" s="26" t="s">
        <v>731</v>
      </c>
      <c r="C167" t="s">
        <v>729</v>
      </c>
      <c r="E167" s="25"/>
    </row>
    <row r="168" spans="1:6" x14ac:dyDescent="0.3">
      <c r="A168" s="9" t="s">
        <v>732</v>
      </c>
      <c r="B168" s="26" t="s">
        <v>733</v>
      </c>
      <c r="C168" t="s">
        <v>729</v>
      </c>
      <c r="E168" s="25"/>
    </row>
    <row r="169" spans="1:6" x14ac:dyDescent="0.3">
      <c r="A169" s="9" t="s">
        <v>734</v>
      </c>
      <c r="B169" s="26" t="s">
        <v>735</v>
      </c>
      <c r="C169" t="s">
        <v>725</v>
      </c>
      <c r="E169" s="25"/>
    </row>
    <row r="170" spans="1:6" x14ac:dyDescent="0.3">
      <c r="A170" s="9"/>
      <c r="B170" s="25"/>
      <c r="E170" s="25"/>
    </row>
    <row r="171" spans="1:6" ht="15" thickBot="1" x14ac:dyDescent="0.35">
      <c r="A171" s="3"/>
      <c r="B171" s="25"/>
      <c r="E171" s="25"/>
    </row>
    <row r="172" spans="1:6" x14ac:dyDescent="0.3">
      <c r="A172" s="178" t="s">
        <v>724</v>
      </c>
      <c r="B172" s="284" t="s">
        <v>726</v>
      </c>
      <c r="C172" s="179" t="s">
        <v>728</v>
      </c>
      <c r="D172" s="179" t="s">
        <v>731</v>
      </c>
      <c r="E172" s="284" t="s">
        <v>733</v>
      </c>
      <c r="F172" s="180" t="s">
        <v>735</v>
      </c>
    </row>
    <row r="173" spans="1:6" x14ac:dyDescent="0.3">
      <c r="A173" s="175" t="s">
        <v>670</v>
      </c>
      <c r="B173" s="173" t="s">
        <v>376</v>
      </c>
      <c r="C173" s="173" t="s">
        <v>686</v>
      </c>
      <c r="D173" s="174" t="s">
        <v>99</v>
      </c>
      <c r="E173" s="173" t="s">
        <v>99</v>
      </c>
      <c r="F173" s="176" t="s">
        <v>691</v>
      </c>
    </row>
    <row r="174" spans="1:6" x14ac:dyDescent="0.3">
      <c r="A174" s="175" t="s">
        <v>99</v>
      </c>
      <c r="B174" s="173"/>
      <c r="C174" s="173" t="s">
        <v>688</v>
      </c>
      <c r="D174" s="174" t="s">
        <v>670</v>
      </c>
      <c r="E174" s="173" t="s">
        <v>670</v>
      </c>
      <c r="F174" s="181"/>
    </row>
    <row r="175" spans="1:6" x14ac:dyDescent="0.3">
      <c r="A175" s="175" t="s">
        <v>673</v>
      </c>
      <c r="B175" s="173"/>
      <c r="C175" s="174"/>
      <c r="D175" s="173" t="s">
        <v>736</v>
      </c>
      <c r="E175" s="173" t="s">
        <v>736</v>
      </c>
      <c r="F175" s="181"/>
    </row>
    <row r="176" spans="1:6" x14ac:dyDescent="0.3">
      <c r="A176" s="175" t="s">
        <v>675</v>
      </c>
      <c r="B176" s="173"/>
      <c r="C176" s="174"/>
      <c r="D176" s="174" t="s">
        <v>691</v>
      </c>
      <c r="E176" s="173" t="s">
        <v>691</v>
      </c>
      <c r="F176" s="181"/>
    </row>
    <row r="177" spans="1:11" x14ac:dyDescent="0.3">
      <c r="A177" s="175" t="s">
        <v>677</v>
      </c>
      <c r="B177" s="173"/>
      <c r="C177" s="174"/>
      <c r="D177" s="173"/>
      <c r="E177" s="173"/>
      <c r="F177" s="181"/>
    </row>
    <row r="178" spans="1:11" x14ac:dyDescent="0.3">
      <c r="A178" s="175" t="s">
        <v>681</v>
      </c>
      <c r="B178" s="173"/>
      <c r="C178" s="174"/>
      <c r="D178" s="174"/>
      <c r="E178" s="173"/>
      <c r="F178" s="181"/>
    </row>
    <row r="179" spans="1:11" ht="15" thickBot="1" x14ac:dyDescent="0.35">
      <c r="A179" s="177" t="s">
        <v>694</v>
      </c>
      <c r="B179" s="285"/>
      <c r="C179" s="182"/>
      <c r="D179" s="182"/>
      <c r="E179" s="285"/>
      <c r="F179" s="183"/>
    </row>
    <row r="180" spans="1:11" x14ac:dyDescent="0.3">
      <c r="B180" s="173"/>
      <c r="C180" s="174"/>
      <c r="D180" s="174"/>
      <c r="E180" s="173"/>
      <c r="F180" s="174"/>
    </row>
    <row r="181" spans="1:11" x14ac:dyDescent="0.3">
      <c r="A181" s="3"/>
      <c r="B181" s="25"/>
      <c r="E181" s="25"/>
    </row>
    <row r="182" spans="1:11" ht="15" thickBot="1" x14ac:dyDescent="0.35">
      <c r="A182" s="122" t="s">
        <v>737</v>
      </c>
      <c r="B182" s="286" t="s">
        <v>34</v>
      </c>
      <c r="C182" s="128" t="s">
        <v>738</v>
      </c>
      <c r="D182" s="141" t="s">
        <v>17</v>
      </c>
      <c r="E182" s="290" t="s">
        <v>739</v>
      </c>
      <c r="F182" s="141" t="s">
        <v>103</v>
      </c>
      <c r="G182" s="141" t="s">
        <v>104</v>
      </c>
      <c r="H182" s="141" t="s">
        <v>105</v>
      </c>
      <c r="I182" s="141" t="s">
        <v>107</v>
      </c>
      <c r="J182" s="141" t="s">
        <v>109</v>
      </c>
    </row>
    <row r="183" spans="1:11" x14ac:dyDescent="0.3">
      <c r="A183" s="184" t="str">
        <f t="shared" ref="A183:A224" si="2">B183&amp;" _ "&amp;C183</f>
        <v>MIA _ WP - REG</v>
      </c>
      <c r="B183" s="122" t="s">
        <v>53</v>
      </c>
      <c r="C183" s="143" t="s">
        <v>97</v>
      </c>
      <c r="D183" s="144">
        <v>7.5</v>
      </c>
      <c r="E183" s="144">
        <v>7.5</v>
      </c>
      <c r="F183" s="144">
        <v>9.5</v>
      </c>
      <c r="G183" s="144">
        <v>7.5</v>
      </c>
      <c r="H183" s="144">
        <v>9.5</v>
      </c>
      <c r="I183" s="144">
        <v>7.5</v>
      </c>
      <c r="J183" s="145">
        <v>7.5</v>
      </c>
    </row>
    <row r="184" spans="1:11" x14ac:dyDescent="0.3">
      <c r="A184" s="184" t="str">
        <f t="shared" si="2"/>
        <v>MIA _ WP - DOUBLE</v>
      </c>
      <c r="B184" s="122" t="s">
        <v>53</v>
      </c>
      <c r="C184" s="146" t="s">
        <v>679</v>
      </c>
      <c r="D184" s="142">
        <v>8</v>
      </c>
      <c r="E184" s="142">
        <v>8</v>
      </c>
      <c r="F184" s="142">
        <v>10</v>
      </c>
      <c r="G184" s="142">
        <v>8</v>
      </c>
      <c r="H184" s="142">
        <v>10</v>
      </c>
      <c r="I184" s="142">
        <v>8</v>
      </c>
      <c r="J184" s="147">
        <v>8</v>
      </c>
    </row>
    <row r="185" spans="1:11" x14ac:dyDescent="0.3">
      <c r="A185" s="184" t="str">
        <f t="shared" si="2"/>
        <v>MIA _ ARR - FOAM</v>
      </c>
      <c r="B185" s="122" t="s">
        <v>53</v>
      </c>
      <c r="C185" s="146" t="s">
        <v>727</v>
      </c>
      <c r="D185" s="142">
        <v>3</v>
      </c>
      <c r="E185" s="142">
        <v>3</v>
      </c>
      <c r="F185" s="142">
        <v>3</v>
      </c>
      <c r="G185" s="142">
        <v>3</v>
      </c>
      <c r="H185" s="142">
        <v>3</v>
      </c>
      <c r="I185" s="142">
        <v>3</v>
      </c>
      <c r="J185" s="147">
        <v>3</v>
      </c>
      <c r="K185" t="s">
        <v>740</v>
      </c>
    </row>
    <row r="186" spans="1:11" x14ac:dyDescent="0.3">
      <c r="A186" s="184" t="str">
        <f t="shared" si="2"/>
        <v>MIA _ ARR - DROP IN MANUAL</v>
      </c>
      <c r="B186" s="122" t="s">
        <v>53</v>
      </c>
      <c r="C186" s="146" t="s">
        <v>730</v>
      </c>
      <c r="D186" s="142">
        <v>0.75</v>
      </c>
      <c r="E186" s="142">
        <v>0.75</v>
      </c>
      <c r="F186" s="142">
        <v>0.75</v>
      </c>
      <c r="G186" s="142">
        <v>0.75</v>
      </c>
      <c r="H186" s="142">
        <v>0.75</v>
      </c>
      <c r="I186" s="142">
        <v>0.75</v>
      </c>
      <c r="J186" s="147">
        <v>0.75</v>
      </c>
      <c r="K186" t="s">
        <v>740</v>
      </c>
    </row>
    <row r="187" spans="1:11" x14ac:dyDescent="0.3">
      <c r="A187" s="184" t="str">
        <f t="shared" si="2"/>
        <v>MIA _ ARR - DROP IN MACHINE</v>
      </c>
      <c r="B187" s="122" t="s">
        <v>53</v>
      </c>
      <c r="C187" s="146" t="s">
        <v>732</v>
      </c>
      <c r="D187" s="166">
        <v>0.45</v>
      </c>
      <c r="E187" s="166">
        <v>0.45</v>
      </c>
      <c r="F187" s="166">
        <v>0.45</v>
      </c>
      <c r="G187" s="166">
        <v>0.45</v>
      </c>
      <c r="H187" s="166">
        <v>0.45</v>
      </c>
      <c r="I187" s="166">
        <v>0.45</v>
      </c>
      <c r="J187" s="167">
        <v>0.45</v>
      </c>
      <c r="K187" t="s">
        <v>740</v>
      </c>
    </row>
    <row r="188" spans="1:11" ht="15" thickBot="1" x14ac:dyDescent="0.35">
      <c r="A188" s="184" t="str">
        <f t="shared" si="2"/>
        <v>MIA _ WP - PALLET SHIPPER</v>
      </c>
      <c r="B188" s="122" t="s">
        <v>53</v>
      </c>
      <c r="C188" s="148" t="s">
        <v>734</v>
      </c>
      <c r="D188" s="149">
        <v>9.5</v>
      </c>
      <c r="E188" s="149">
        <v>9.5</v>
      </c>
      <c r="F188" s="149">
        <v>11.5</v>
      </c>
      <c r="G188" s="149">
        <v>9.5</v>
      </c>
      <c r="H188" s="149">
        <v>11.5</v>
      </c>
      <c r="I188" s="149">
        <v>9.5</v>
      </c>
      <c r="J188" s="150">
        <v>9.5</v>
      </c>
    </row>
    <row r="189" spans="1:11" x14ac:dyDescent="0.3">
      <c r="A189" s="184" t="str">
        <f t="shared" si="2"/>
        <v>NJ _ WP - REG</v>
      </c>
      <c r="B189" s="122" t="s">
        <v>67</v>
      </c>
      <c r="C189" s="143" t="s">
        <v>97</v>
      </c>
      <c r="D189" s="144">
        <v>7.5</v>
      </c>
      <c r="E189" s="144">
        <v>7.5</v>
      </c>
      <c r="F189" s="144">
        <v>9.5</v>
      </c>
      <c r="G189" s="144">
        <v>7.5</v>
      </c>
      <c r="H189" s="144">
        <v>9.5</v>
      </c>
      <c r="I189" s="144">
        <v>7.5</v>
      </c>
      <c r="J189" s="145">
        <v>7.5</v>
      </c>
    </row>
    <row r="190" spans="1:11" x14ac:dyDescent="0.3">
      <c r="A190" s="184" t="str">
        <f t="shared" si="2"/>
        <v>NJ _ WP - DOUBLE</v>
      </c>
      <c r="B190" s="122" t="s">
        <v>67</v>
      </c>
      <c r="C190" s="146" t="s">
        <v>679</v>
      </c>
      <c r="D190" s="142">
        <v>8</v>
      </c>
      <c r="E190" s="142">
        <v>8</v>
      </c>
      <c r="F190" s="142">
        <v>10</v>
      </c>
      <c r="G190" s="142">
        <v>8</v>
      </c>
      <c r="H190" s="142">
        <v>10</v>
      </c>
      <c r="I190" s="142">
        <v>8</v>
      </c>
      <c r="J190" s="147">
        <v>8</v>
      </c>
    </row>
    <row r="191" spans="1:11" x14ac:dyDescent="0.3">
      <c r="A191" s="184" t="str">
        <f t="shared" si="2"/>
        <v>NJ _ ARR - FOAM</v>
      </c>
      <c r="B191" s="122" t="s">
        <v>67</v>
      </c>
      <c r="C191" s="146" t="s">
        <v>727</v>
      </c>
      <c r="D191" s="142">
        <v>3</v>
      </c>
      <c r="E191" s="142">
        <v>3</v>
      </c>
      <c r="F191" s="142">
        <v>3</v>
      </c>
      <c r="G191" s="142">
        <v>3</v>
      </c>
      <c r="H191" s="142">
        <v>3</v>
      </c>
      <c r="I191" s="142">
        <v>3</v>
      </c>
      <c r="J191" s="147">
        <v>3</v>
      </c>
      <c r="K191" t="s">
        <v>740</v>
      </c>
    </row>
    <row r="192" spans="1:11" x14ac:dyDescent="0.3">
      <c r="A192" s="184" t="str">
        <f t="shared" si="2"/>
        <v>NJ _ ARR - DROP IN MANUAL</v>
      </c>
      <c r="B192" s="122" t="s">
        <v>67</v>
      </c>
      <c r="C192" s="146" t="s">
        <v>730</v>
      </c>
      <c r="D192" s="142">
        <v>0.75</v>
      </c>
      <c r="E192" s="142">
        <v>0.75</v>
      </c>
      <c r="F192" s="142">
        <v>0.75</v>
      </c>
      <c r="G192" s="142">
        <v>0.75</v>
      </c>
      <c r="H192" s="142">
        <v>0.75</v>
      </c>
      <c r="I192" s="142">
        <v>0.75</v>
      </c>
      <c r="J192" s="147">
        <v>0.75</v>
      </c>
      <c r="K192" t="s">
        <v>740</v>
      </c>
    </row>
    <row r="193" spans="1:11" x14ac:dyDescent="0.3">
      <c r="A193" s="184" t="str">
        <f t="shared" si="2"/>
        <v>NJ _ ARR - DROP IN MACHINE</v>
      </c>
      <c r="B193" s="122" t="s">
        <v>67</v>
      </c>
      <c r="C193" s="146" t="s">
        <v>732</v>
      </c>
      <c r="D193" s="166">
        <v>0.45</v>
      </c>
      <c r="E193" s="166">
        <v>0.45</v>
      </c>
      <c r="F193" s="166">
        <v>0.45</v>
      </c>
      <c r="G193" s="166">
        <v>0.45</v>
      </c>
      <c r="H193" s="166">
        <v>0.45</v>
      </c>
      <c r="I193" s="166">
        <v>0.45</v>
      </c>
      <c r="J193" s="167">
        <v>0.45</v>
      </c>
      <c r="K193" t="s">
        <v>740</v>
      </c>
    </row>
    <row r="194" spans="1:11" ht="15" thickBot="1" x14ac:dyDescent="0.35">
      <c r="A194" s="184" t="str">
        <f t="shared" si="2"/>
        <v>NJ _ WP - PALLET SHIPPER</v>
      </c>
      <c r="B194" s="122" t="s">
        <v>67</v>
      </c>
      <c r="C194" s="148" t="s">
        <v>734</v>
      </c>
      <c r="D194" s="149">
        <v>83</v>
      </c>
      <c r="E194" s="149">
        <v>83</v>
      </c>
      <c r="F194" s="149">
        <v>83</v>
      </c>
      <c r="G194" s="149">
        <v>83</v>
      </c>
      <c r="H194" s="149">
        <v>83</v>
      </c>
      <c r="I194" s="149">
        <v>83</v>
      </c>
      <c r="J194" s="150">
        <v>83</v>
      </c>
    </row>
    <row r="195" spans="1:11" x14ac:dyDescent="0.3">
      <c r="A195" s="184" t="str">
        <f t="shared" si="2"/>
        <v>CH _ WP - REG</v>
      </c>
      <c r="B195" s="122" t="s">
        <v>83</v>
      </c>
      <c r="C195" s="143" t="s">
        <v>97</v>
      </c>
      <c r="D195" s="144">
        <v>7.5</v>
      </c>
      <c r="E195" s="144">
        <v>7.5</v>
      </c>
      <c r="F195" s="144">
        <v>9.5</v>
      </c>
      <c r="G195" s="144">
        <v>7.5</v>
      </c>
      <c r="H195" s="144">
        <v>9.5</v>
      </c>
      <c r="I195" s="144">
        <v>7.5</v>
      </c>
      <c r="J195" s="145">
        <v>7.5</v>
      </c>
    </row>
    <row r="196" spans="1:11" x14ac:dyDescent="0.3">
      <c r="A196" s="184" t="str">
        <f t="shared" si="2"/>
        <v>CH _ WP - DOUBLE</v>
      </c>
      <c r="B196" s="122" t="s">
        <v>83</v>
      </c>
      <c r="C196" s="146" t="s">
        <v>679</v>
      </c>
      <c r="D196" s="142">
        <v>8</v>
      </c>
      <c r="E196" s="142">
        <v>8</v>
      </c>
      <c r="F196" s="142">
        <v>10</v>
      </c>
      <c r="G196" s="142">
        <v>8</v>
      </c>
      <c r="H196" s="142">
        <v>10</v>
      </c>
      <c r="I196" s="142">
        <v>8</v>
      </c>
      <c r="J196" s="147">
        <v>8</v>
      </c>
    </row>
    <row r="197" spans="1:11" x14ac:dyDescent="0.3">
      <c r="A197" s="184" t="str">
        <f t="shared" si="2"/>
        <v>CH _ ARR - FOAM</v>
      </c>
      <c r="B197" s="122" t="s">
        <v>83</v>
      </c>
      <c r="C197" s="146" t="s">
        <v>727</v>
      </c>
      <c r="D197" s="142">
        <v>3</v>
      </c>
      <c r="E197" s="142">
        <v>3</v>
      </c>
      <c r="F197" s="142">
        <v>3</v>
      </c>
      <c r="G197" s="142">
        <v>3</v>
      </c>
      <c r="H197" s="142">
        <v>3</v>
      </c>
      <c r="I197" s="142">
        <v>3</v>
      </c>
      <c r="J197" s="147">
        <v>3</v>
      </c>
      <c r="K197" t="s">
        <v>740</v>
      </c>
    </row>
    <row r="198" spans="1:11" x14ac:dyDescent="0.3">
      <c r="A198" s="184" t="str">
        <f t="shared" si="2"/>
        <v>CH _ ARR - DROP IN MANUAL</v>
      </c>
      <c r="B198" s="122" t="s">
        <v>83</v>
      </c>
      <c r="C198" s="146" t="s">
        <v>730</v>
      </c>
      <c r="D198" s="142">
        <v>0.75</v>
      </c>
      <c r="E198" s="142">
        <v>0.75</v>
      </c>
      <c r="F198" s="142">
        <v>0.75</v>
      </c>
      <c r="G198" s="142">
        <v>0.75</v>
      </c>
      <c r="H198" s="142">
        <v>0.75</v>
      </c>
      <c r="I198" s="142">
        <v>0.75</v>
      </c>
      <c r="J198" s="147">
        <v>0.75</v>
      </c>
      <c r="K198" t="s">
        <v>740</v>
      </c>
    </row>
    <row r="199" spans="1:11" x14ac:dyDescent="0.3">
      <c r="A199" s="184" t="str">
        <f t="shared" si="2"/>
        <v>CH _ ARR - DROP IN MACHINE</v>
      </c>
      <c r="B199" s="122" t="s">
        <v>83</v>
      </c>
      <c r="C199" s="146" t="s">
        <v>732</v>
      </c>
      <c r="D199" s="166">
        <v>0.45</v>
      </c>
      <c r="E199" s="166">
        <v>0.45</v>
      </c>
      <c r="F199" s="166">
        <v>0.45</v>
      </c>
      <c r="G199" s="166">
        <v>0.45</v>
      </c>
      <c r="H199" s="166">
        <v>0.45</v>
      </c>
      <c r="I199" s="166">
        <v>0.45</v>
      </c>
      <c r="J199" s="167">
        <v>0.45</v>
      </c>
      <c r="K199" t="s">
        <v>740</v>
      </c>
    </row>
    <row r="200" spans="1:11" ht="15" thickBot="1" x14ac:dyDescent="0.35">
      <c r="A200" s="184" t="str">
        <f t="shared" si="2"/>
        <v>CH _ WP - PALLET SHIPPER</v>
      </c>
      <c r="B200" s="122" t="s">
        <v>83</v>
      </c>
      <c r="C200" s="148" t="s">
        <v>734</v>
      </c>
      <c r="D200" s="149">
        <v>9.5</v>
      </c>
      <c r="E200" s="149">
        <v>9.5</v>
      </c>
      <c r="F200" s="149">
        <v>11.5</v>
      </c>
      <c r="G200" s="149">
        <v>9.5</v>
      </c>
      <c r="H200" s="149">
        <v>11.5</v>
      </c>
      <c r="I200" s="149">
        <v>9.5</v>
      </c>
      <c r="J200" s="150">
        <v>9.5</v>
      </c>
    </row>
    <row r="201" spans="1:11" x14ac:dyDescent="0.3">
      <c r="A201" s="184" t="str">
        <f t="shared" si="2"/>
        <v>LAX _ WP - REG</v>
      </c>
      <c r="B201" s="122" t="s">
        <v>76</v>
      </c>
      <c r="C201" s="143" t="s">
        <v>97</v>
      </c>
      <c r="D201" s="144">
        <v>8.5</v>
      </c>
      <c r="E201" s="144">
        <v>8.5</v>
      </c>
      <c r="F201" s="144">
        <v>10.5</v>
      </c>
      <c r="G201" s="144">
        <v>8.5</v>
      </c>
      <c r="H201" s="144">
        <v>10.5</v>
      </c>
      <c r="I201" s="144">
        <v>8.5</v>
      </c>
      <c r="J201" s="145">
        <v>8.5</v>
      </c>
    </row>
    <row r="202" spans="1:11" x14ac:dyDescent="0.3">
      <c r="A202" s="184" t="str">
        <f t="shared" si="2"/>
        <v>LAX _ WP - DOUBLE</v>
      </c>
      <c r="B202" s="122" t="s">
        <v>76</v>
      </c>
      <c r="C202" s="146" t="s">
        <v>679</v>
      </c>
      <c r="D202" s="142">
        <v>9</v>
      </c>
      <c r="E202" s="142">
        <v>9</v>
      </c>
      <c r="F202" s="142">
        <v>11</v>
      </c>
      <c r="G202" s="142">
        <v>9</v>
      </c>
      <c r="H202" s="142">
        <v>11</v>
      </c>
      <c r="I202" s="142">
        <v>9</v>
      </c>
      <c r="J202" s="147">
        <v>9</v>
      </c>
    </row>
    <row r="203" spans="1:11" x14ac:dyDescent="0.3">
      <c r="A203" s="184" t="str">
        <f t="shared" si="2"/>
        <v>LAX _ ARR - FOAM</v>
      </c>
      <c r="B203" s="122" t="s">
        <v>76</v>
      </c>
      <c r="C203" s="146" t="s">
        <v>727</v>
      </c>
      <c r="D203" s="142">
        <v>3.5</v>
      </c>
      <c r="E203" s="142">
        <v>3.5</v>
      </c>
      <c r="F203" s="142">
        <v>3.5</v>
      </c>
      <c r="G203" s="142">
        <v>3.5</v>
      </c>
      <c r="H203" s="142">
        <v>3.5</v>
      </c>
      <c r="I203" s="142">
        <v>3.5</v>
      </c>
      <c r="J203" s="147">
        <v>3.5</v>
      </c>
      <c r="K203" t="s">
        <v>740</v>
      </c>
    </row>
    <row r="204" spans="1:11" x14ac:dyDescent="0.3">
      <c r="A204" s="184" t="str">
        <f t="shared" si="2"/>
        <v>LAX _ ARR - DROP IN MANUAL</v>
      </c>
      <c r="B204" s="122" t="s">
        <v>76</v>
      </c>
      <c r="C204" s="146" t="s">
        <v>730</v>
      </c>
      <c r="D204" s="142">
        <v>0.8</v>
      </c>
      <c r="E204" s="142">
        <v>0.8</v>
      </c>
      <c r="F204" s="142">
        <v>0.8</v>
      </c>
      <c r="G204" s="142">
        <v>0.8</v>
      </c>
      <c r="H204" s="142">
        <v>0.8</v>
      </c>
      <c r="I204" s="142">
        <v>0.8</v>
      </c>
      <c r="J204" s="147">
        <v>0.8</v>
      </c>
      <c r="K204" t="s">
        <v>740</v>
      </c>
    </row>
    <row r="205" spans="1:11" x14ac:dyDescent="0.3">
      <c r="A205" s="184" t="str">
        <f t="shared" si="2"/>
        <v>LAX _ ARR - DROP IN MACHINE</v>
      </c>
      <c r="B205" s="122" t="s">
        <v>76</v>
      </c>
      <c r="C205" s="146" t="s">
        <v>732</v>
      </c>
      <c r="D205" s="166">
        <v>0.5</v>
      </c>
      <c r="E205" s="166">
        <v>0.5</v>
      </c>
      <c r="F205" s="166">
        <v>0.5</v>
      </c>
      <c r="G205" s="166">
        <v>0.5</v>
      </c>
      <c r="H205" s="166">
        <v>0.5</v>
      </c>
      <c r="I205" s="166">
        <v>0.5</v>
      </c>
      <c r="J205" s="167">
        <v>0.5</v>
      </c>
      <c r="K205" t="s">
        <v>740</v>
      </c>
    </row>
    <row r="206" spans="1:11" ht="15" thickBot="1" x14ac:dyDescent="0.35">
      <c r="A206" s="184" t="str">
        <f t="shared" si="2"/>
        <v>LAX _ WP - PALLET SHIPPER</v>
      </c>
      <c r="B206" s="122" t="s">
        <v>76</v>
      </c>
      <c r="C206" s="148" t="s">
        <v>734</v>
      </c>
      <c r="D206" s="149">
        <v>10.5</v>
      </c>
      <c r="E206" s="149">
        <v>10.5</v>
      </c>
      <c r="F206" s="149">
        <v>12.5</v>
      </c>
      <c r="G206" s="149">
        <v>10.5</v>
      </c>
      <c r="H206" s="149">
        <v>12.5</v>
      </c>
      <c r="I206" s="149">
        <v>10.5</v>
      </c>
      <c r="J206" s="150">
        <v>10.5</v>
      </c>
    </row>
    <row r="207" spans="1:11" x14ac:dyDescent="0.3">
      <c r="A207" s="184" t="str">
        <f t="shared" si="2"/>
        <v>CAN _ WP - REG</v>
      </c>
      <c r="B207" s="122" t="s">
        <v>741</v>
      </c>
      <c r="C207" s="143" t="s">
        <v>97</v>
      </c>
      <c r="D207" s="144">
        <v>8.5</v>
      </c>
      <c r="E207" s="144">
        <v>8.5</v>
      </c>
      <c r="F207" s="144">
        <v>10.5</v>
      </c>
      <c r="G207" s="144">
        <v>8.5</v>
      </c>
      <c r="H207" s="144">
        <v>10.5</v>
      </c>
      <c r="I207" s="144">
        <v>8.5</v>
      </c>
      <c r="J207" s="145">
        <v>8.5</v>
      </c>
    </row>
    <row r="208" spans="1:11" x14ac:dyDescent="0.3">
      <c r="A208" s="184" t="str">
        <f t="shared" si="2"/>
        <v>CAN _ WP - DOUBLE</v>
      </c>
      <c r="B208" s="122" t="s">
        <v>741</v>
      </c>
      <c r="C208" s="146" t="s">
        <v>679</v>
      </c>
      <c r="D208" s="142">
        <v>9</v>
      </c>
      <c r="E208" s="142">
        <v>9</v>
      </c>
      <c r="F208" s="142">
        <v>11</v>
      </c>
      <c r="G208" s="142">
        <v>9</v>
      </c>
      <c r="H208" s="142">
        <v>11</v>
      </c>
      <c r="I208" s="142">
        <v>9</v>
      </c>
      <c r="J208" s="147">
        <v>9</v>
      </c>
    </row>
    <row r="209" spans="1:11" x14ac:dyDescent="0.3">
      <c r="A209" s="184" t="str">
        <f t="shared" si="2"/>
        <v>CAN _ ARR - FOAM</v>
      </c>
      <c r="B209" s="122" t="s">
        <v>741</v>
      </c>
      <c r="C209" s="146" t="s">
        <v>727</v>
      </c>
      <c r="D209" s="142">
        <v>3.5</v>
      </c>
      <c r="E209" s="142">
        <v>3.5</v>
      </c>
      <c r="F209" s="142">
        <v>3.5</v>
      </c>
      <c r="G209" s="142">
        <v>3.5</v>
      </c>
      <c r="H209" s="142">
        <v>3.5</v>
      </c>
      <c r="I209" s="142">
        <v>3.5</v>
      </c>
      <c r="J209" s="147">
        <v>3.5</v>
      </c>
      <c r="K209" t="s">
        <v>740</v>
      </c>
    </row>
    <row r="210" spans="1:11" x14ac:dyDescent="0.3">
      <c r="A210" s="184" t="str">
        <f t="shared" si="2"/>
        <v>CAN _ ARR - DROP IN MANUAL</v>
      </c>
      <c r="B210" s="122" t="s">
        <v>741</v>
      </c>
      <c r="C210" s="146" t="s">
        <v>730</v>
      </c>
      <c r="D210" s="142">
        <v>0.8</v>
      </c>
      <c r="E210" s="142">
        <v>0.8</v>
      </c>
      <c r="F210" s="142">
        <v>0.8</v>
      </c>
      <c r="G210" s="142">
        <v>0.8</v>
      </c>
      <c r="H210" s="142">
        <v>0.8</v>
      </c>
      <c r="I210" s="142">
        <v>0.8</v>
      </c>
      <c r="J210" s="147">
        <v>0.8</v>
      </c>
      <c r="K210" t="s">
        <v>740</v>
      </c>
    </row>
    <row r="211" spans="1:11" x14ac:dyDescent="0.3">
      <c r="A211" s="184" t="str">
        <f t="shared" si="2"/>
        <v>CAN _ ARR - DROP IN MACHINE</v>
      </c>
      <c r="B211" s="122" t="s">
        <v>741</v>
      </c>
      <c r="C211" s="146" t="s">
        <v>732</v>
      </c>
      <c r="D211" s="166">
        <v>0.5</v>
      </c>
      <c r="E211" s="166">
        <v>0.5</v>
      </c>
      <c r="F211" s="166">
        <v>0.5</v>
      </c>
      <c r="G211" s="166">
        <v>0.5</v>
      </c>
      <c r="H211" s="166">
        <v>0.5</v>
      </c>
      <c r="I211" s="166">
        <v>0.5</v>
      </c>
      <c r="J211" s="167">
        <v>0.5</v>
      </c>
      <c r="K211" t="s">
        <v>740</v>
      </c>
    </row>
    <row r="212" spans="1:11" ht="15" thickBot="1" x14ac:dyDescent="0.35">
      <c r="A212" s="184" t="str">
        <f t="shared" si="2"/>
        <v>CAN _ WP - PALLET SHIPPER</v>
      </c>
      <c r="B212" s="122" t="s">
        <v>741</v>
      </c>
      <c r="C212" s="148" t="s">
        <v>734</v>
      </c>
      <c r="D212" s="149">
        <v>10.5</v>
      </c>
      <c r="E212" s="149">
        <v>10.5</v>
      </c>
      <c r="F212" s="149">
        <v>12.5</v>
      </c>
      <c r="G212" s="149">
        <v>10.5</v>
      </c>
      <c r="H212" s="149">
        <v>12.5</v>
      </c>
      <c r="I212" s="149">
        <v>10.5</v>
      </c>
      <c r="J212" s="150">
        <v>10.5</v>
      </c>
    </row>
    <row r="213" spans="1:11" x14ac:dyDescent="0.3">
      <c r="A213" s="184" t="str">
        <f t="shared" si="2"/>
        <v>WA _ WP - REG</v>
      </c>
      <c r="B213" s="122" t="s">
        <v>89</v>
      </c>
      <c r="C213" s="143" t="s">
        <v>97</v>
      </c>
      <c r="D213" s="144">
        <v>8.5</v>
      </c>
      <c r="E213" s="144">
        <v>8.5</v>
      </c>
      <c r="F213" s="144">
        <v>10.5</v>
      </c>
      <c r="G213" s="144">
        <v>8.5</v>
      </c>
      <c r="H213" s="144">
        <v>10.5</v>
      </c>
      <c r="I213" s="144">
        <v>8.5</v>
      </c>
      <c r="J213" s="145">
        <v>8.5</v>
      </c>
    </row>
    <row r="214" spans="1:11" x14ac:dyDescent="0.3">
      <c r="A214" s="184" t="str">
        <f t="shared" si="2"/>
        <v>WA _ WP - DOUBLE</v>
      </c>
      <c r="B214" s="122" t="s">
        <v>89</v>
      </c>
      <c r="C214" s="146" t="s">
        <v>679</v>
      </c>
      <c r="D214" s="142">
        <v>9</v>
      </c>
      <c r="E214" s="142">
        <v>9</v>
      </c>
      <c r="F214" s="142">
        <v>11</v>
      </c>
      <c r="G214" s="142">
        <v>9</v>
      </c>
      <c r="H214" s="142">
        <v>11</v>
      </c>
      <c r="I214" s="142">
        <v>9</v>
      </c>
      <c r="J214" s="147">
        <v>9</v>
      </c>
    </row>
    <row r="215" spans="1:11" x14ac:dyDescent="0.3">
      <c r="A215" s="184" t="str">
        <f t="shared" si="2"/>
        <v>WA _ ARR - FOAM</v>
      </c>
      <c r="B215" s="122" t="s">
        <v>89</v>
      </c>
      <c r="C215" s="146" t="s">
        <v>727</v>
      </c>
      <c r="D215" s="142">
        <v>3.5</v>
      </c>
      <c r="E215" s="142">
        <v>3.5</v>
      </c>
      <c r="F215" s="142">
        <v>3.5</v>
      </c>
      <c r="G215" s="142">
        <v>3.5</v>
      </c>
      <c r="H215" s="142">
        <v>3.5</v>
      </c>
      <c r="I215" s="142">
        <v>3.5</v>
      </c>
      <c r="J215" s="147">
        <v>3.5</v>
      </c>
      <c r="K215" t="s">
        <v>740</v>
      </c>
    </row>
    <row r="216" spans="1:11" x14ac:dyDescent="0.3">
      <c r="A216" s="184" t="str">
        <f t="shared" si="2"/>
        <v>WA _ ARR - DROP IN MANUAL</v>
      </c>
      <c r="B216" s="122" t="s">
        <v>89</v>
      </c>
      <c r="C216" s="146" t="s">
        <v>730</v>
      </c>
      <c r="D216" s="142">
        <v>0.8</v>
      </c>
      <c r="E216" s="142">
        <v>0.8</v>
      </c>
      <c r="F216" s="142">
        <v>0.8</v>
      </c>
      <c r="G216" s="142">
        <v>0.8</v>
      </c>
      <c r="H216" s="142">
        <v>0.8</v>
      </c>
      <c r="I216" s="142">
        <v>0.8</v>
      </c>
      <c r="J216" s="147">
        <v>0.8</v>
      </c>
      <c r="K216" t="s">
        <v>740</v>
      </c>
    </row>
    <row r="217" spans="1:11" x14ac:dyDescent="0.3">
      <c r="A217" s="184" t="str">
        <f t="shared" si="2"/>
        <v>WA _ ARR - DROP IN MACHINE</v>
      </c>
      <c r="B217" s="122" t="s">
        <v>89</v>
      </c>
      <c r="C217" s="146" t="s">
        <v>732</v>
      </c>
      <c r="D217" s="166">
        <v>0.5</v>
      </c>
      <c r="E217" s="166">
        <v>0.5</v>
      </c>
      <c r="F217" s="166">
        <v>0.5</v>
      </c>
      <c r="G217" s="166">
        <v>0.5</v>
      </c>
      <c r="H217" s="166">
        <v>0.5</v>
      </c>
      <c r="I217" s="166">
        <v>0.5</v>
      </c>
      <c r="J217" s="167">
        <v>0.5</v>
      </c>
      <c r="K217" t="s">
        <v>740</v>
      </c>
    </row>
    <row r="218" spans="1:11" ht="15" thickBot="1" x14ac:dyDescent="0.35">
      <c r="A218" s="184" t="str">
        <f t="shared" si="2"/>
        <v>WA _ WP - PALLET SHIPPER</v>
      </c>
      <c r="B218" s="122" t="s">
        <v>89</v>
      </c>
      <c r="C218" s="148" t="s">
        <v>734</v>
      </c>
      <c r="D218" s="149">
        <v>10.5</v>
      </c>
      <c r="E218" s="149">
        <v>10.5</v>
      </c>
      <c r="F218" s="149">
        <v>12.5</v>
      </c>
      <c r="G218" s="149">
        <v>10.5</v>
      </c>
      <c r="H218" s="149">
        <v>12.5</v>
      </c>
      <c r="I218" s="149">
        <v>10.5</v>
      </c>
      <c r="J218" s="150">
        <v>10.5</v>
      </c>
    </row>
    <row r="219" spans="1:11" x14ac:dyDescent="0.3">
      <c r="A219" s="184" t="str">
        <f t="shared" si="2"/>
        <v>TX _ WP - REG</v>
      </c>
      <c r="B219" s="122" t="s">
        <v>94</v>
      </c>
      <c r="C219" s="143" t="s">
        <v>97</v>
      </c>
      <c r="D219" s="144">
        <v>7.5</v>
      </c>
      <c r="E219" s="144">
        <v>7.5</v>
      </c>
      <c r="F219" s="144">
        <v>9.5</v>
      </c>
      <c r="G219" s="144">
        <v>7.5</v>
      </c>
      <c r="H219" s="144">
        <v>9.5</v>
      </c>
      <c r="I219" s="144">
        <v>7.5</v>
      </c>
      <c r="J219" s="145">
        <v>7.5</v>
      </c>
    </row>
    <row r="220" spans="1:11" x14ac:dyDescent="0.3">
      <c r="A220" s="184" t="str">
        <f t="shared" si="2"/>
        <v>TX _ WP - DOUBLE</v>
      </c>
      <c r="B220" s="122" t="s">
        <v>94</v>
      </c>
      <c r="C220" s="146" t="s">
        <v>679</v>
      </c>
      <c r="D220" s="142">
        <v>8</v>
      </c>
      <c r="E220" s="142">
        <v>8</v>
      </c>
      <c r="F220" s="142">
        <v>10</v>
      </c>
      <c r="G220" s="142">
        <v>8</v>
      </c>
      <c r="H220" s="142">
        <v>10</v>
      </c>
      <c r="I220" s="142">
        <v>8</v>
      </c>
      <c r="J220" s="147">
        <v>8</v>
      </c>
    </row>
    <row r="221" spans="1:11" x14ac:dyDescent="0.3">
      <c r="A221" s="184" t="str">
        <f t="shared" si="2"/>
        <v>TX _ ARR - FOAM</v>
      </c>
      <c r="B221" s="122" t="s">
        <v>94</v>
      </c>
      <c r="C221" s="146" t="s">
        <v>727</v>
      </c>
      <c r="D221" s="142">
        <v>3</v>
      </c>
      <c r="E221" s="142">
        <v>3</v>
      </c>
      <c r="F221" s="142">
        <v>3</v>
      </c>
      <c r="G221" s="142">
        <v>3</v>
      </c>
      <c r="H221" s="142">
        <v>3</v>
      </c>
      <c r="I221" s="142">
        <v>3</v>
      </c>
      <c r="J221" s="147">
        <v>3</v>
      </c>
      <c r="K221" t="s">
        <v>740</v>
      </c>
    </row>
    <row r="222" spans="1:11" x14ac:dyDescent="0.3">
      <c r="A222" s="184" t="str">
        <f t="shared" si="2"/>
        <v>TX _ ARR - DROP IN MANUAL</v>
      </c>
      <c r="B222" s="122" t="s">
        <v>94</v>
      </c>
      <c r="C222" s="146" t="s">
        <v>730</v>
      </c>
      <c r="D222" s="142">
        <v>0.75</v>
      </c>
      <c r="E222" s="142">
        <v>0.75</v>
      </c>
      <c r="F222" s="142">
        <v>0.75</v>
      </c>
      <c r="G222" s="142">
        <v>0.75</v>
      </c>
      <c r="H222" s="142">
        <v>0.75</v>
      </c>
      <c r="I222" s="142">
        <v>0.75</v>
      </c>
      <c r="J222" s="147">
        <v>0.75</v>
      </c>
      <c r="K222" t="s">
        <v>740</v>
      </c>
    </row>
    <row r="223" spans="1:11" x14ac:dyDescent="0.3">
      <c r="A223" s="184" t="str">
        <f t="shared" si="2"/>
        <v>TX _ ARR - DROP IN MACHINE</v>
      </c>
      <c r="B223" s="122" t="s">
        <v>94</v>
      </c>
      <c r="C223" s="146" t="s">
        <v>732</v>
      </c>
      <c r="D223" s="166">
        <v>0.45</v>
      </c>
      <c r="E223" s="166">
        <v>0.45</v>
      </c>
      <c r="F223" s="166">
        <v>0.45</v>
      </c>
      <c r="G223" s="166">
        <v>0.45</v>
      </c>
      <c r="H223" s="166">
        <v>0.45</v>
      </c>
      <c r="I223" s="166">
        <v>0.45</v>
      </c>
      <c r="J223" s="167">
        <v>0.45</v>
      </c>
      <c r="K223" t="s">
        <v>740</v>
      </c>
    </row>
    <row r="224" spans="1:11" ht="15" thickBot="1" x14ac:dyDescent="0.35">
      <c r="A224" s="184" t="str">
        <f t="shared" si="2"/>
        <v>TX _ WP - PALLET SHIPPER</v>
      </c>
      <c r="B224" s="122" t="s">
        <v>94</v>
      </c>
      <c r="C224" s="148" t="s">
        <v>734</v>
      </c>
      <c r="D224" s="149">
        <v>9.5</v>
      </c>
      <c r="E224" s="149">
        <v>9.5</v>
      </c>
      <c r="F224" s="149">
        <v>11.5</v>
      </c>
      <c r="G224" s="149">
        <v>9.5</v>
      </c>
      <c r="H224" s="149">
        <v>11.5</v>
      </c>
      <c r="I224" s="149">
        <v>9.5</v>
      </c>
      <c r="J224" s="150">
        <v>9.5</v>
      </c>
    </row>
    <row r="225" spans="1:6" x14ac:dyDescent="0.3">
      <c r="B225" s="25"/>
      <c r="E225" s="25"/>
    </row>
    <row r="226" spans="1:6" x14ac:dyDescent="0.3">
      <c r="B226" s="25"/>
      <c r="E226" s="25"/>
    </row>
    <row r="227" spans="1:6" x14ac:dyDescent="0.3">
      <c r="B227" s="25"/>
      <c r="E227" s="25"/>
    </row>
    <row r="228" spans="1:6" x14ac:dyDescent="0.3">
      <c r="B228" s="25"/>
      <c r="E228" s="25"/>
    </row>
    <row r="229" spans="1:6" x14ac:dyDescent="0.3">
      <c r="A229" s="3"/>
      <c r="B229" s="287">
        <v>0</v>
      </c>
      <c r="C229" s="33">
        <v>10</v>
      </c>
      <c r="D229" s="33">
        <v>18</v>
      </c>
      <c r="E229" s="287">
        <v>25</v>
      </c>
      <c r="F229" s="33">
        <v>31</v>
      </c>
    </row>
    <row r="230" spans="1:6" x14ac:dyDescent="0.3">
      <c r="A230" s="24" t="s">
        <v>742</v>
      </c>
      <c r="B230" s="288" t="s">
        <v>743</v>
      </c>
      <c r="C230" s="221" t="s">
        <v>744</v>
      </c>
      <c r="D230" s="221" t="s">
        <v>745</v>
      </c>
      <c r="E230" s="291" t="s">
        <v>746</v>
      </c>
      <c r="F230" s="1" t="s">
        <v>747</v>
      </c>
    </row>
    <row r="231" spans="1:6" x14ac:dyDescent="0.3">
      <c r="A231" t="s">
        <v>53</v>
      </c>
      <c r="B231" s="289" t="s">
        <v>748</v>
      </c>
      <c r="C231" s="48">
        <v>0.94</v>
      </c>
      <c r="D231" s="48">
        <v>0.94</v>
      </c>
      <c r="E231" s="289">
        <v>0.94</v>
      </c>
      <c r="F231" s="48">
        <v>0.94</v>
      </c>
    </row>
    <row r="232" spans="1:6" x14ac:dyDescent="0.3">
      <c r="A232" t="s">
        <v>67</v>
      </c>
      <c r="B232" s="289" t="s">
        <v>748</v>
      </c>
      <c r="C232" s="48">
        <v>0.94</v>
      </c>
      <c r="D232" s="48">
        <v>0.94</v>
      </c>
      <c r="E232" s="289">
        <v>0.94</v>
      </c>
      <c r="F232" s="48">
        <v>0.94</v>
      </c>
    </row>
    <row r="233" spans="1:6" x14ac:dyDescent="0.3">
      <c r="A233" t="s">
        <v>83</v>
      </c>
      <c r="B233" s="289" t="s">
        <v>748</v>
      </c>
      <c r="C233" s="48">
        <v>0.94</v>
      </c>
      <c r="D233" s="48">
        <v>0.94</v>
      </c>
      <c r="E233" s="289">
        <v>0.94</v>
      </c>
      <c r="F233" s="48">
        <v>0.94</v>
      </c>
    </row>
    <row r="234" spans="1:6" x14ac:dyDescent="0.3">
      <c r="A234" t="s">
        <v>94</v>
      </c>
      <c r="B234" s="289" t="s">
        <v>748</v>
      </c>
      <c r="C234" s="48">
        <v>0.94</v>
      </c>
      <c r="D234" s="48">
        <v>0.94</v>
      </c>
      <c r="E234" s="289">
        <v>0.94</v>
      </c>
      <c r="F234" s="48">
        <v>0.94</v>
      </c>
    </row>
    <row r="235" spans="1:6" x14ac:dyDescent="0.3">
      <c r="A235" t="s">
        <v>76</v>
      </c>
      <c r="B235" s="289" t="s">
        <v>748</v>
      </c>
      <c r="C235" s="48">
        <v>0.94</v>
      </c>
      <c r="D235" s="48">
        <v>0.94</v>
      </c>
      <c r="E235" s="289">
        <v>0.94</v>
      </c>
      <c r="F235" s="48">
        <v>0.94</v>
      </c>
    </row>
    <row r="236" spans="1:6" x14ac:dyDescent="0.3">
      <c r="A236" t="s">
        <v>89</v>
      </c>
      <c r="B236" s="289" t="s">
        <v>748</v>
      </c>
      <c r="C236" s="48">
        <v>0.94</v>
      </c>
      <c r="D236" s="48">
        <v>0.94</v>
      </c>
      <c r="E236" s="289">
        <v>0.94</v>
      </c>
      <c r="F236" s="48">
        <v>0.94</v>
      </c>
    </row>
    <row r="237" spans="1:6" x14ac:dyDescent="0.3">
      <c r="B237" s="25"/>
      <c r="E237" s="25"/>
    </row>
    <row r="238" spans="1:6" x14ac:dyDescent="0.3">
      <c r="B238" s="25"/>
      <c r="E238" s="25"/>
    </row>
    <row r="239" spans="1:6" x14ac:dyDescent="0.3">
      <c r="B239" s="25"/>
      <c r="E239" s="25"/>
    </row>
    <row r="240" spans="1:6" x14ac:dyDescent="0.3">
      <c r="B240" s="25"/>
      <c r="E240" s="25"/>
    </row>
    <row r="241" spans="2:5" x14ac:dyDescent="0.3">
      <c r="B241" s="25"/>
      <c r="E241" s="25"/>
    </row>
    <row r="242" spans="2:5" x14ac:dyDescent="0.3">
      <c r="B242" s="25"/>
      <c r="E242" s="25"/>
    </row>
    <row r="243" spans="2:5" x14ac:dyDescent="0.3">
      <c r="B243" s="25"/>
      <c r="E243" s="25"/>
    </row>
    <row r="244" spans="2:5" x14ac:dyDescent="0.3">
      <c r="B244" s="25"/>
      <c r="E244" s="25"/>
    </row>
    <row r="245" spans="2:5" x14ac:dyDescent="0.3">
      <c r="B245" s="25"/>
      <c r="E245" s="25"/>
    </row>
    <row r="246" spans="2:5" x14ac:dyDescent="0.3">
      <c r="B246" s="25"/>
      <c r="E246" s="25"/>
    </row>
    <row r="247" spans="2:5" x14ac:dyDescent="0.3">
      <c r="B247" s="25"/>
      <c r="E247" s="25"/>
    </row>
    <row r="248" spans="2:5" x14ac:dyDescent="0.3">
      <c r="B248" s="25"/>
      <c r="E248" s="25"/>
    </row>
    <row r="249" spans="2:5" x14ac:dyDescent="0.3">
      <c r="B249" s="25"/>
      <c r="E249" s="25"/>
    </row>
    <row r="250" spans="2:5" x14ac:dyDescent="0.3">
      <c r="B250" s="25"/>
      <c r="E250" s="25"/>
    </row>
    <row r="251" spans="2:5" x14ac:dyDescent="0.3">
      <c r="B251" s="25"/>
      <c r="E251" s="25"/>
    </row>
    <row r="252" spans="2:5" x14ac:dyDescent="0.3">
      <c r="B252" s="25"/>
      <c r="E252" s="25"/>
    </row>
    <row r="253" spans="2:5" x14ac:dyDescent="0.3">
      <c r="B253" s="25"/>
      <c r="E253" s="25"/>
    </row>
    <row r="254" spans="2:5" x14ac:dyDescent="0.3">
      <c r="B254" s="25"/>
      <c r="E254" s="25"/>
    </row>
    <row r="255" spans="2:5" x14ac:dyDescent="0.3">
      <c r="B255" s="25"/>
      <c r="E255" s="25"/>
    </row>
    <row r="256" spans="2:5" x14ac:dyDescent="0.3">
      <c r="B256" s="25"/>
      <c r="E256" s="25"/>
    </row>
    <row r="257" spans="2:2" x14ac:dyDescent="0.3">
      <c r="B257" s="25"/>
    </row>
    <row r="258" spans="2:2" x14ac:dyDescent="0.3">
      <c r="B258" s="25"/>
    </row>
    <row r="259" spans="2:2" x14ac:dyDescent="0.3">
      <c r="B259" s="25"/>
    </row>
    <row r="260" spans="2:2" x14ac:dyDescent="0.3">
      <c r="B260" s="25"/>
    </row>
    <row r="261" spans="2:2" x14ac:dyDescent="0.3">
      <c r="B261" s="25"/>
    </row>
    <row r="262" spans="2:2" x14ac:dyDescent="0.3">
      <c r="B262" s="25"/>
    </row>
    <row r="263" spans="2:2" x14ac:dyDescent="0.3">
      <c r="B263" s="25"/>
    </row>
    <row r="264" spans="2:2" x14ac:dyDescent="0.3">
      <c r="B264" s="25"/>
    </row>
    <row r="265" spans="2:2" x14ac:dyDescent="0.3">
      <c r="B265" s="25"/>
    </row>
    <row r="266" spans="2:2" x14ac:dyDescent="0.3">
      <c r="B266" s="25"/>
    </row>
    <row r="267" spans="2:2" x14ac:dyDescent="0.3">
      <c r="B267" s="25"/>
    </row>
    <row r="268" spans="2:2" x14ac:dyDescent="0.3">
      <c r="B268" s="25"/>
    </row>
    <row r="269" spans="2:2" x14ac:dyDescent="0.3">
      <c r="B269" s="25"/>
    </row>
    <row r="270" spans="2:2" x14ac:dyDescent="0.3">
      <c r="B270" s="25"/>
    </row>
    <row r="271" spans="2:2" x14ac:dyDescent="0.3">
      <c r="B271" s="25"/>
    </row>
    <row r="272" spans="2:2" x14ac:dyDescent="0.3">
      <c r="B272" s="25"/>
    </row>
    <row r="273" spans="2:2" x14ac:dyDescent="0.3">
      <c r="B273" s="25"/>
    </row>
    <row r="274" spans="2:2" x14ac:dyDescent="0.3">
      <c r="B274" s="25"/>
    </row>
    <row r="275" spans="2:2" x14ac:dyDescent="0.3">
      <c r="B275" s="25"/>
    </row>
    <row r="276" spans="2:2" x14ac:dyDescent="0.3">
      <c r="B276" s="25"/>
    </row>
    <row r="277" spans="2:2" x14ac:dyDescent="0.3">
      <c r="B277" s="25"/>
    </row>
    <row r="278" spans="2:2" x14ac:dyDescent="0.3">
      <c r="B278" s="25"/>
    </row>
    <row r="279" spans="2:2" x14ac:dyDescent="0.3">
      <c r="B279" s="25"/>
    </row>
    <row r="280" spans="2:2" x14ac:dyDescent="0.3">
      <c r="B280" s="25"/>
    </row>
    <row r="281" spans="2:2" x14ac:dyDescent="0.3">
      <c r="B281" s="25"/>
    </row>
    <row r="282" spans="2:2" x14ac:dyDescent="0.3">
      <c r="B282" s="25"/>
    </row>
    <row r="283" spans="2:2" x14ac:dyDescent="0.3">
      <c r="B283" s="25"/>
    </row>
    <row r="284" spans="2:2" x14ac:dyDescent="0.3">
      <c r="B284" s="25"/>
    </row>
    <row r="285" spans="2:2" x14ac:dyDescent="0.3">
      <c r="B285" s="25"/>
    </row>
    <row r="286" spans="2:2" x14ac:dyDescent="0.3">
      <c r="B286" s="25"/>
    </row>
    <row r="287" spans="2:2" x14ac:dyDescent="0.3">
      <c r="B287" s="25"/>
    </row>
    <row r="288" spans="2:2" x14ac:dyDescent="0.3">
      <c r="B288" s="25"/>
    </row>
    <row r="289" spans="2:2" x14ac:dyDescent="0.3">
      <c r="B289" s="25"/>
    </row>
    <row r="290" spans="2:2" x14ac:dyDescent="0.3">
      <c r="B290" s="25"/>
    </row>
    <row r="291" spans="2:2" x14ac:dyDescent="0.3">
      <c r="B291" s="25"/>
    </row>
    <row r="292" spans="2:2" x14ac:dyDescent="0.3">
      <c r="B292" s="25"/>
    </row>
    <row r="293" spans="2:2" x14ac:dyDescent="0.3">
      <c r="B293" s="25"/>
    </row>
    <row r="294" spans="2:2" x14ac:dyDescent="0.3">
      <c r="B294" s="25"/>
    </row>
    <row r="295" spans="2:2" x14ac:dyDescent="0.3">
      <c r="B295" s="25"/>
    </row>
    <row r="296" spans="2:2" x14ac:dyDescent="0.3">
      <c r="B296" s="25"/>
    </row>
    <row r="297" spans="2:2" x14ac:dyDescent="0.3">
      <c r="B297" s="25"/>
    </row>
    <row r="298" spans="2:2" x14ac:dyDescent="0.3">
      <c r="B298" s="25"/>
    </row>
    <row r="299" spans="2:2" x14ac:dyDescent="0.3">
      <c r="B299" s="25"/>
    </row>
    <row r="300" spans="2:2" x14ac:dyDescent="0.3">
      <c r="B300" s="25"/>
    </row>
    <row r="301" spans="2:2" x14ac:dyDescent="0.3">
      <c r="B301" s="25"/>
    </row>
    <row r="302" spans="2:2" x14ac:dyDescent="0.3">
      <c r="B302" s="25"/>
    </row>
    <row r="303" spans="2:2" x14ac:dyDescent="0.3">
      <c r="B303" s="25"/>
    </row>
    <row r="304" spans="2:2" x14ac:dyDescent="0.3">
      <c r="B304" s="25"/>
    </row>
    <row r="305" spans="2:2" x14ac:dyDescent="0.3">
      <c r="B305" s="25"/>
    </row>
    <row r="306" spans="2:2" x14ac:dyDescent="0.3">
      <c r="B306" s="25"/>
    </row>
    <row r="307" spans="2:2" x14ac:dyDescent="0.3">
      <c r="B307" s="25"/>
    </row>
    <row r="308" spans="2:2" x14ac:dyDescent="0.3">
      <c r="B308" s="25"/>
    </row>
    <row r="309" spans="2:2" x14ac:dyDescent="0.3">
      <c r="B309" s="25"/>
    </row>
    <row r="310" spans="2:2" x14ac:dyDescent="0.3">
      <c r="B310" s="25"/>
    </row>
    <row r="311" spans="2:2" x14ac:dyDescent="0.3">
      <c r="B311" s="25"/>
    </row>
    <row r="312" spans="2:2" x14ac:dyDescent="0.3">
      <c r="B312" s="25"/>
    </row>
    <row r="313" spans="2:2" x14ac:dyDescent="0.3">
      <c r="B313" s="25"/>
    </row>
    <row r="314" spans="2:2" x14ac:dyDescent="0.3">
      <c r="B314" s="25"/>
    </row>
    <row r="315" spans="2:2" x14ac:dyDescent="0.3">
      <c r="B315" s="25"/>
    </row>
    <row r="316" spans="2:2" x14ac:dyDescent="0.3">
      <c r="B316" s="25"/>
    </row>
    <row r="317" spans="2:2" x14ac:dyDescent="0.3">
      <c r="B317" s="25"/>
    </row>
    <row r="318" spans="2:2" x14ac:dyDescent="0.3">
      <c r="B318" s="25"/>
    </row>
    <row r="319" spans="2:2" x14ac:dyDescent="0.3">
      <c r="B319" s="25"/>
    </row>
    <row r="320" spans="2:2" x14ac:dyDescent="0.3">
      <c r="B320" s="25"/>
    </row>
    <row r="321" spans="2:2" x14ac:dyDescent="0.3">
      <c r="B321" s="25"/>
    </row>
    <row r="322" spans="2:2" x14ac:dyDescent="0.3">
      <c r="B322" s="25"/>
    </row>
    <row r="323" spans="2:2" x14ac:dyDescent="0.3">
      <c r="B323" s="25"/>
    </row>
    <row r="324" spans="2:2" x14ac:dyDescent="0.3">
      <c r="B324" s="25"/>
    </row>
    <row r="325" spans="2:2" x14ac:dyDescent="0.3">
      <c r="B325" s="25"/>
    </row>
    <row r="326" spans="2:2" x14ac:dyDescent="0.3">
      <c r="B326" s="25"/>
    </row>
    <row r="327" spans="2:2" x14ac:dyDescent="0.3">
      <c r="B327" s="25"/>
    </row>
    <row r="328" spans="2:2" x14ac:dyDescent="0.3">
      <c r="B328" s="25"/>
    </row>
    <row r="329" spans="2:2" x14ac:dyDescent="0.3">
      <c r="B329" s="25"/>
    </row>
    <row r="330" spans="2:2" x14ac:dyDescent="0.3">
      <c r="B330" s="25"/>
    </row>
    <row r="331" spans="2:2" x14ac:dyDescent="0.3">
      <c r="B331" s="25"/>
    </row>
    <row r="332" spans="2:2" x14ac:dyDescent="0.3">
      <c r="B332" s="25"/>
    </row>
  </sheetData>
  <autoFilter ref="A182:O224" xr:uid="{7062668F-3F60-456C-B3E5-2066C4D76D3B}"/>
  <sortState xmlns:xlrd2="http://schemas.microsoft.com/office/spreadsheetml/2017/richdata2" ref="A3:A61">
    <sortCondition ref="A3:A61"/>
  </sortState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52"/>
  <sheetViews>
    <sheetView topLeftCell="A16" workbookViewId="0">
      <selection activeCell="B25" sqref="A25:XFD25"/>
    </sheetView>
  </sheetViews>
  <sheetFormatPr defaultColWidth="8.6640625" defaultRowHeight="14.4" x14ac:dyDescent="0.3"/>
  <cols>
    <col min="1" max="1" width="51.109375" bestFit="1" customWidth="1"/>
  </cols>
  <sheetData>
    <row r="1" spans="1:1" x14ac:dyDescent="0.3">
      <c r="A1" s="1" t="s">
        <v>749</v>
      </c>
    </row>
    <row r="2" spans="1:1" x14ac:dyDescent="0.3">
      <c r="A2" s="1" t="s">
        <v>21</v>
      </c>
    </row>
    <row r="3" spans="1:1" x14ac:dyDescent="0.3">
      <c r="A3" s="1" t="s">
        <v>750</v>
      </c>
    </row>
    <row r="4" spans="1:1" x14ac:dyDescent="0.3">
      <c r="A4" t="s">
        <v>117</v>
      </c>
    </row>
    <row r="5" spans="1:1" x14ac:dyDescent="0.3">
      <c r="A5" t="s">
        <v>133</v>
      </c>
    </row>
    <row r="6" spans="1:1" x14ac:dyDescent="0.3">
      <c r="A6" t="s">
        <v>134</v>
      </c>
    </row>
    <row r="7" spans="1:1" x14ac:dyDescent="0.3">
      <c r="A7" t="s">
        <v>140</v>
      </c>
    </row>
    <row r="8" spans="1:1" x14ac:dyDescent="0.3">
      <c r="A8" t="s">
        <v>142</v>
      </c>
    </row>
    <row r="9" spans="1:1" x14ac:dyDescent="0.3">
      <c r="A9" t="s">
        <v>144</v>
      </c>
    </row>
    <row r="10" spans="1:1" x14ac:dyDescent="0.3">
      <c r="A10" t="s">
        <v>147</v>
      </c>
    </row>
    <row r="11" spans="1:1" x14ac:dyDescent="0.3">
      <c r="A11" t="s">
        <v>149</v>
      </c>
    </row>
    <row r="12" spans="1:1" x14ac:dyDescent="0.3">
      <c r="A12" t="s">
        <v>151</v>
      </c>
    </row>
    <row r="13" spans="1:1" x14ac:dyDescent="0.3">
      <c r="A13" t="s">
        <v>154</v>
      </c>
    </row>
    <row r="14" spans="1:1" x14ac:dyDescent="0.3">
      <c r="A14" t="s">
        <v>156</v>
      </c>
    </row>
    <row r="15" spans="1:1" x14ac:dyDescent="0.3">
      <c r="A15" t="s">
        <v>159</v>
      </c>
    </row>
    <row r="16" spans="1:1" x14ac:dyDescent="0.3">
      <c r="A16" t="s">
        <v>161</v>
      </c>
    </row>
    <row r="17" spans="1:1" x14ac:dyDescent="0.3">
      <c r="A17" t="s">
        <v>163</v>
      </c>
    </row>
    <row r="18" spans="1:1" x14ac:dyDescent="0.3">
      <c r="A18" t="s">
        <v>166</v>
      </c>
    </row>
    <row r="19" spans="1:1" x14ac:dyDescent="0.3">
      <c r="A19" t="s">
        <v>167</v>
      </c>
    </row>
    <row r="20" spans="1:1" x14ac:dyDescent="0.3">
      <c r="A20" t="s">
        <v>172</v>
      </c>
    </row>
    <row r="21" spans="1:1" x14ac:dyDescent="0.3">
      <c r="A21" t="s">
        <v>174</v>
      </c>
    </row>
    <row r="22" spans="1:1" x14ac:dyDescent="0.3">
      <c r="A22" t="s">
        <v>176</v>
      </c>
    </row>
    <row r="23" spans="1:1" x14ac:dyDescent="0.3">
      <c r="A23" t="s">
        <v>234</v>
      </c>
    </row>
    <row r="24" spans="1:1" x14ac:dyDescent="0.3">
      <c r="A24" t="s">
        <v>236</v>
      </c>
    </row>
    <row r="25" spans="1:1" x14ac:dyDescent="0.3">
      <c r="A25" t="s">
        <v>348</v>
      </c>
    </row>
    <row r="26" spans="1:1" x14ac:dyDescent="0.3">
      <c r="A26" t="s">
        <v>239</v>
      </c>
    </row>
    <row r="27" spans="1:1" x14ac:dyDescent="0.3">
      <c r="A27" t="s">
        <v>241</v>
      </c>
    </row>
    <row r="28" spans="1:1" x14ac:dyDescent="0.3">
      <c r="A28" t="s">
        <v>247</v>
      </c>
    </row>
    <row r="29" spans="1:1" x14ac:dyDescent="0.3">
      <c r="A29" t="s">
        <v>248</v>
      </c>
    </row>
    <row r="30" spans="1:1" x14ac:dyDescent="0.3">
      <c r="A30" t="s">
        <v>250</v>
      </c>
    </row>
    <row r="31" spans="1:1" x14ac:dyDescent="0.3">
      <c r="A31" t="s">
        <v>120</v>
      </c>
    </row>
    <row r="32" spans="1:1" x14ac:dyDescent="0.3">
      <c r="A32" t="s">
        <v>127</v>
      </c>
    </row>
    <row r="33" spans="1:1" x14ac:dyDescent="0.3">
      <c r="A33" t="s">
        <v>253</v>
      </c>
    </row>
    <row r="34" spans="1:1" x14ac:dyDescent="0.3">
      <c r="A34" t="s">
        <v>242</v>
      </c>
    </row>
    <row r="35" spans="1:1" x14ac:dyDescent="0.3">
      <c r="A35" t="s">
        <v>255</v>
      </c>
    </row>
    <row r="36" spans="1:1" x14ac:dyDescent="0.3">
      <c r="A36" t="s">
        <v>222</v>
      </c>
    </row>
    <row r="37" spans="1:1" x14ac:dyDescent="0.3">
      <c r="A37" t="s">
        <v>257</v>
      </c>
    </row>
    <row r="38" spans="1:1" x14ac:dyDescent="0.3">
      <c r="A38" t="s">
        <v>261</v>
      </c>
    </row>
    <row r="39" spans="1:1" x14ac:dyDescent="0.3">
      <c r="A39" t="s">
        <v>263</v>
      </c>
    </row>
    <row r="40" spans="1:1" x14ac:dyDescent="0.3">
      <c r="A40" t="s">
        <v>265</v>
      </c>
    </row>
    <row r="41" spans="1:1" x14ac:dyDescent="0.3">
      <c r="A41" t="s">
        <v>273</v>
      </c>
    </row>
    <row r="42" spans="1:1" x14ac:dyDescent="0.3">
      <c r="A42" t="s">
        <v>276</v>
      </c>
    </row>
    <row r="43" spans="1:1" x14ac:dyDescent="0.3">
      <c r="A43" t="s">
        <v>293</v>
      </c>
    </row>
    <row r="44" spans="1:1" x14ac:dyDescent="0.3">
      <c r="A44" t="s">
        <v>296</v>
      </c>
    </row>
    <row r="45" spans="1:1" x14ac:dyDescent="0.3">
      <c r="A45" t="s">
        <v>317</v>
      </c>
    </row>
    <row r="46" spans="1:1" x14ac:dyDescent="0.3">
      <c r="A46" t="s">
        <v>327</v>
      </c>
    </row>
    <row r="47" spans="1:1" x14ac:dyDescent="0.3">
      <c r="A47" t="s">
        <v>328</v>
      </c>
    </row>
    <row r="48" spans="1:1" x14ac:dyDescent="0.3">
      <c r="A48" t="s">
        <v>330</v>
      </c>
    </row>
    <row r="49" spans="1:1" x14ac:dyDescent="0.3">
      <c r="A49" t="s">
        <v>178</v>
      </c>
    </row>
    <row r="50" spans="1:1" x14ac:dyDescent="0.3">
      <c r="A50" t="s">
        <v>331</v>
      </c>
    </row>
    <row r="51" spans="1:1" x14ac:dyDescent="0.3">
      <c r="A51" t="s">
        <v>332</v>
      </c>
    </row>
    <row r="52" spans="1:1" x14ac:dyDescent="0.3">
      <c r="A52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C1:J67"/>
  <sheetViews>
    <sheetView topLeftCell="C1" workbookViewId="0">
      <selection activeCell="E28" sqref="E28"/>
    </sheetView>
  </sheetViews>
  <sheetFormatPr defaultColWidth="8.6640625" defaultRowHeight="14.4" x14ac:dyDescent="0.3"/>
  <cols>
    <col min="1" max="2" width="0" hidden="1" customWidth="1"/>
    <col min="3" max="3" width="22.6640625" style="41" bestFit="1" customWidth="1"/>
    <col min="4" max="4" width="22.6640625" bestFit="1" customWidth="1"/>
    <col min="5" max="5" width="15.44140625" style="7" customWidth="1"/>
    <col min="6" max="6" width="16.44140625" style="7" customWidth="1"/>
    <col min="7" max="7" width="21.44140625" style="7" customWidth="1"/>
    <col min="8" max="10" width="9.109375" style="7"/>
  </cols>
  <sheetData>
    <row r="1" spans="3:10" s="23" customFormat="1" ht="67.5" customHeight="1" x14ac:dyDescent="0.3">
      <c r="C1" s="52" t="s">
        <v>41</v>
      </c>
      <c r="D1" s="163" t="s">
        <v>41</v>
      </c>
      <c r="E1" s="163" t="s">
        <v>17</v>
      </c>
      <c r="F1" s="163" t="s">
        <v>659</v>
      </c>
      <c r="G1" s="163" t="s">
        <v>751</v>
      </c>
      <c r="H1" s="34"/>
      <c r="I1" s="34"/>
      <c r="J1" s="34"/>
    </row>
    <row r="2" spans="3:10" x14ac:dyDescent="0.3">
      <c r="C2" s="9" t="s">
        <v>752</v>
      </c>
      <c r="D2" s="9" t="s">
        <v>752</v>
      </c>
      <c r="E2" s="53">
        <v>1</v>
      </c>
      <c r="F2" s="54">
        <v>2</v>
      </c>
      <c r="G2" s="54">
        <v>1</v>
      </c>
      <c r="H2" s="35"/>
      <c r="I2" s="35"/>
      <c r="J2" s="35"/>
    </row>
    <row r="3" spans="3:10" x14ac:dyDescent="0.3">
      <c r="C3" s="9" t="s">
        <v>506</v>
      </c>
      <c r="D3" s="9" t="s">
        <v>506</v>
      </c>
      <c r="E3" s="53">
        <v>1</v>
      </c>
      <c r="F3" s="54">
        <v>2</v>
      </c>
      <c r="G3" s="54">
        <v>1</v>
      </c>
      <c r="H3" s="35"/>
      <c r="I3" s="35"/>
      <c r="J3" s="35"/>
    </row>
    <row r="4" spans="3:10" x14ac:dyDescent="0.3">
      <c r="C4" s="9" t="s">
        <v>753</v>
      </c>
      <c r="D4" s="9" t="s">
        <v>753</v>
      </c>
      <c r="E4" s="53">
        <v>1</v>
      </c>
      <c r="F4" s="54">
        <v>2</v>
      </c>
      <c r="G4" s="54">
        <v>1</v>
      </c>
      <c r="H4" s="35"/>
      <c r="I4" s="35"/>
      <c r="J4" s="35"/>
    </row>
    <row r="5" spans="3:10" x14ac:dyDescent="0.3">
      <c r="C5" s="9" t="s">
        <v>754</v>
      </c>
      <c r="D5" s="9" t="s">
        <v>754</v>
      </c>
      <c r="E5" s="53">
        <v>1</v>
      </c>
      <c r="F5" s="54">
        <v>2</v>
      </c>
      <c r="G5" s="54">
        <v>1</v>
      </c>
      <c r="H5" s="35"/>
      <c r="I5" s="35"/>
      <c r="J5" s="35"/>
    </row>
    <row r="6" spans="3:10" x14ac:dyDescent="0.3">
      <c r="C6" s="9" t="s">
        <v>755</v>
      </c>
      <c r="D6" s="9" t="s">
        <v>755</v>
      </c>
      <c r="E6" s="53">
        <v>1</v>
      </c>
      <c r="F6" s="54">
        <v>2</v>
      </c>
      <c r="G6" s="54">
        <v>1</v>
      </c>
      <c r="H6" s="36"/>
      <c r="I6" s="35"/>
      <c r="J6" s="35"/>
    </row>
    <row r="7" spans="3:10" x14ac:dyDescent="0.3">
      <c r="C7" s="9" t="s">
        <v>756</v>
      </c>
      <c r="D7" s="9" t="s">
        <v>756</v>
      </c>
      <c r="E7" s="53">
        <v>1</v>
      </c>
      <c r="F7" s="54">
        <v>2</v>
      </c>
      <c r="G7" s="54">
        <v>1</v>
      </c>
      <c r="H7" s="35"/>
      <c r="I7" s="35"/>
      <c r="J7" s="35"/>
    </row>
    <row r="8" spans="3:10" x14ac:dyDescent="0.3">
      <c r="C8" s="9" t="s">
        <v>757</v>
      </c>
      <c r="D8" s="9" t="s">
        <v>757</v>
      </c>
      <c r="E8" s="53">
        <v>1</v>
      </c>
      <c r="F8" s="54">
        <v>2</v>
      </c>
      <c r="G8" s="54">
        <v>1</v>
      </c>
      <c r="H8" s="35"/>
      <c r="I8" s="35"/>
      <c r="J8" s="35"/>
    </row>
    <row r="9" spans="3:10" x14ac:dyDescent="0.3">
      <c r="C9" s="9" t="s">
        <v>758</v>
      </c>
      <c r="D9" s="9" t="s">
        <v>758</v>
      </c>
      <c r="E9" s="53">
        <v>1</v>
      </c>
      <c r="F9" s="54">
        <v>2</v>
      </c>
      <c r="G9" s="54">
        <v>1</v>
      </c>
      <c r="H9" s="35"/>
      <c r="I9" s="35"/>
      <c r="J9" s="35"/>
    </row>
    <row r="10" spans="3:10" x14ac:dyDescent="0.3">
      <c r="C10" s="9" t="s">
        <v>759</v>
      </c>
      <c r="D10" s="9" t="s">
        <v>759</v>
      </c>
      <c r="E10" s="53">
        <v>1</v>
      </c>
      <c r="F10" s="54">
        <v>2</v>
      </c>
      <c r="G10" s="54">
        <v>1</v>
      </c>
      <c r="H10" s="35"/>
      <c r="I10" s="35"/>
      <c r="J10" s="35"/>
    </row>
    <row r="11" spans="3:10" x14ac:dyDescent="0.3">
      <c r="C11" s="9" t="s">
        <v>426</v>
      </c>
      <c r="D11" s="9" t="s">
        <v>426</v>
      </c>
      <c r="E11" s="53">
        <v>1</v>
      </c>
      <c r="F11" s="54">
        <v>2</v>
      </c>
      <c r="G11" s="54">
        <v>1</v>
      </c>
      <c r="H11" s="35"/>
      <c r="I11" s="35"/>
      <c r="J11" s="35"/>
    </row>
    <row r="12" spans="3:10" x14ac:dyDescent="0.3">
      <c r="C12" s="9" t="s">
        <v>427</v>
      </c>
      <c r="D12" s="9" t="s">
        <v>427</v>
      </c>
      <c r="E12" s="53">
        <v>1</v>
      </c>
      <c r="F12" s="54">
        <v>2</v>
      </c>
      <c r="G12" s="54">
        <v>1</v>
      </c>
      <c r="H12" s="35"/>
      <c r="I12" s="35"/>
      <c r="J12" s="35"/>
    </row>
    <row r="13" spans="3:10" x14ac:dyDescent="0.3">
      <c r="C13" s="9" t="s">
        <v>517</v>
      </c>
      <c r="D13" s="9" t="s">
        <v>517</v>
      </c>
      <c r="E13" s="53">
        <v>1</v>
      </c>
      <c r="F13" s="54">
        <v>2</v>
      </c>
      <c r="G13" s="54">
        <v>1</v>
      </c>
      <c r="H13" s="35"/>
      <c r="I13" s="35"/>
      <c r="J13" s="35"/>
    </row>
    <row r="14" spans="3:10" x14ac:dyDescent="0.3">
      <c r="C14" s="9" t="s">
        <v>760</v>
      </c>
      <c r="D14" s="9" t="s">
        <v>760</v>
      </c>
      <c r="E14" s="53">
        <v>1</v>
      </c>
      <c r="F14" s="54">
        <v>2</v>
      </c>
      <c r="G14" s="54">
        <v>1</v>
      </c>
      <c r="H14" s="35"/>
      <c r="I14" s="35"/>
      <c r="J14" s="35"/>
    </row>
    <row r="15" spans="3:10" x14ac:dyDescent="0.3">
      <c r="C15" s="9" t="s">
        <v>432</v>
      </c>
      <c r="D15" s="9" t="s">
        <v>432</v>
      </c>
      <c r="E15" s="53">
        <v>1</v>
      </c>
      <c r="F15" s="54">
        <v>2</v>
      </c>
      <c r="G15" s="54">
        <v>1</v>
      </c>
      <c r="H15" s="35"/>
      <c r="I15" s="35"/>
      <c r="J15" s="35"/>
    </row>
    <row r="16" spans="3:10" x14ac:dyDescent="0.3">
      <c r="C16" s="9" t="s">
        <v>520</v>
      </c>
      <c r="D16" s="9" t="s">
        <v>520</v>
      </c>
      <c r="E16" s="53">
        <v>1</v>
      </c>
      <c r="F16" s="54">
        <v>2</v>
      </c>
      <c r="G16" s="54">
        <v>1</v>
      </c>
      <c r="H16" s="35"/>
      <c r="I16" s="35"/>
      <c r="J16" s="35"/>
    </row>
    <row r="17" spans="3:10" x14ac:dyDescent="0.3">
      <c r="C17" s="9" t="s">
        <v>761</v>
      </c>
      <c r="D17" s="9" t="s">
        <v>761</v>
      </c>
      <c r="E17" s="53">
        <v>1</v>
      </c>
      <c r="F17" s="54">
        <v>2</v>
      </c>
      <c r="G17" s="54">
        <v>1</v>
      </c>
      <c r="H17" s="35"/>
      <c r="I17" s="35"/>
      <c r="J17" s="35"/>
    </row>
    <row r="18" spans="3:10" x14ac:dyDescent="0.3">
      <c r="C18" s="9" t="s">
        <v>438</v>
      </c>
      <c r="D18" s="9" t="s">
        <v>438</v>
      </c>
      <c r="E18" s="53">
        <v>1</v>
      </c>
      <c r="F18" s="54">
        <v>2</v>
      </c>
      <c r="G18" s="54">
        <v>1</v>
      </c>
      <c r="H18" s="35"/>
      <c r="I18" s="35"/>
      <c r="J18" s="35"/>
    </row>
    <row r="19" spans="3:10" x14ac:dyDescent="0.3">
      <c r="C19" s="9" t="s">
        <v>762</v>
      </c>
      <c r="D19" s="9" t="s">
        <v>762</v>
      </c>
      <c r="E19" s="53">
        <v>1</v>
      </c>
      <c r="F19" s="54">
        <v>2</v>
      </c>
      <c r="G19" s="54">
        <v>1</v>
      </c>
      <c r="H19" s="35"/>
      <c r="I19" s="35"/>
      <c r="J19" s="35"/>
    </row>
    <row r="20" spans="3:10" x14ac:dyDescent="0.3">
      <c r="C20" s="9" t="s">
        <v>763</v>
      </c>
      <c r="D20" s="9" t="s">
        <v>763</v>
      </c>
      <c r="E20" s="53">
        <v>1</v>
      </c>
      <c r="F20" s="54">
        <v>2</v>
      </c>
      <c r="G20" s="54">
        <v>1</v>
      </c>
      <c r="H20" s="35"/>
      <c r="I20" s="35"/>
      <c r="J20" s="35"/>
    </row>
    <row r="21" spans="3:10" x14ac:dyDescent="0.3">
      <c r="C21" s="9" t="s">
        <v>764</v>
      </c>
      <c r="D21" s="9" t="s">
        <v>764</v>
      </c>
      <c r="E21" s="53">
        <v>1</v>
      </c>
      <c r="F21" s="54">
        <v>2</v>
      </c>
      <c r="G21" s="54">
        <v>1</v>
      </c>
      <c r="H21" s="35"/>
      <c r="I21" s="35"/>
      <c r="J21" s="35"/>
    </row>
    <row r="22" spans="3:10" x14ac:dyDescent="0.3">
      <c r="C22" s="9" t="s">
        <v>442</v>
      </c>
      <c r="D22" s="9" t="s">
        <v>442</v>
      </c>
      <c r="E22" s="53">
        <v>1</v>
      </c>
      <c r="F22" s="54">
        <v>2</v>
      </c>
      <c r="G22" s="54">
        <v>1</v>
      </c>
      <c r="H22" s="35"/>
      <c r="I22" s="35"/>
      <c r="J22" s="35"/>
    </row>
    <row r="23" spans="3:10" x14ac:dyDescent="0.3">
      <c r="C23" s="9" t="s">
        <v>765</v>
      </c>
      <c r="D23" s="9" t="s">
        <v>765</v>
      </c>
      <c r="E23" s="53">
        <v>1</v>
      </c>
      <c r="F23" s="54">
        <v>2</v>
      </c>
      <c r="G23" s="54">
        <v>1</v>
      </c>
      <c r="H23" s="35"/>
      <c r="I23" s="35"/>
      <c r="J23" s="35"/>
    </row>
    <row r="24" spans="3:10" x14ac:dyDescent="0.3">
      <c r="C24" s="9" t="s">
        <v>766</v>
      </c>
      <c r="D24" s="9" t="s">
        <v>766</v>
      </c>
      <c r="E24" s="53">
        <v>1</v>
      </c>
      <c r="F24" s="54">
        <v>2</v>
      </c>
      <c r="G24" s="54">
        <v>1</v>
      </c>
      <c r="H24" s="35"/>
      <c r="I24" s="35"/>
      <c r="J24" s="35"/>
    </row>
    <row r="25" spans="3:10" x14ac:dyDescent="0.3">
      <c r="C25" s="9" t="s">
        <v>446</v>
      </c>
      <c r="D25" s="9" t="s">
        <v>446</v>
      </c>
      <c r="E25" s="53">
        <v>1</v>
      </c>
      <c r="F25" s="54">
        <v>2</v>
      </c>
      <c r="G25" s="54">
        <v>1</v>
      </c>
      <c r="H25" s="35"/>
      <c r="I25" s="35"/>
      <c r="J25" s="35"/>
    </row>
    <row r="26" spans="3:10" x14ac:dyDescent="0.3">
      <c r="C26" s="9" t="s">
        <v>767</v>
      </c>
      <c r="D26" s="9" t="s">
        <v>767</v>
      </c>
      <c r="E26" s="53">
        <v>1</v>
      </c>
      <c r="F26" s="54">
        <v>2</v>
      </c>
      <c r="G26" s="54">
        <v>1</v>
      </c>
      <c r="H26" s="35"/>
      <c r="I26" s="35"/>
      <c r="J26" s="35"/>
    </row>
    <row r="27" spans="3:10" x14ac:dyDescent="0.3">
      <c r="C27" s="9" t="s">
        <v>768</v>
      </c>
      <c r="D27" s="9" t="s">
        <v>768</v>
      </c>
      <c r="E27" s="53">
        <v>1</v>
      </c>
      <c r="F27" s="54">
        <v>2</v>
      </c>
      <c r="G27" s="54">
        <v>1</v>
      </c>
      <c r="H27" s="35"/>
      <c r="I27" s="35"/>
      <c r="J27" s="35"/>
    </row>
    <row r="28" spans="3:10" x14ac:dyDescent="0.3">
      <c r="C28" s="9" t="s">
        <v>769</v>
      </c>
      <c r="D28" s="9" t="s">
        <v>769</v>
      </c>
      <c r="E28" s="53">
        <v>1</v>
      </c>
      <c r="F28" s="54">
        <v>2</v>
      </c>
      <c r="G28" s="54">
        <v>1</v>
      </c>
      <c r="H28" s="35"/>
      <c r="I28" s="35"/>
      <c r="J28" s="35"/>
    </row>
    <row r="29" spans="3:10" x14ac:dyDescent="0.3">
      <c r="C29" s="9" t="s">
        <v>448</v>
      </c>
      <c r="D29" s="9" t="s">
        <v>448</v>
      </c>
      <c r="E29" s="53">
        <v>1</v>
      </c>
      <c r="F29" s="54">
        <v>2</v>
      </c>
      <c r="G29" s="54">
        <v>1</v>
      </c>
      <c r="H29" s="35"/>
      <c r="I29" s="35"/>
      <c r="J29" s="35"/>
    </row>
    <row r="30" spans="3:10" x14ac:dyDescent="0.3">
      <c r="C30" s="9" t="s">
        <v>450</v>
      </c>
      <c r="D30" s="9" t="s">
        <v>450</v>
      </c>
      <c r="E30" s="53">
        <v>1</v>
      </c>
      <c r="F30" s="54">
        <v>2</v>
      </c>
      <c r="G30" s="54">
        <v>1</v>
      </c>
      <c r="H30" s="35"/>
      <c r="I30" s="35"/>
      <c r="J30" s="35"/>
    </row>
    <row r="31" spans="3:10" x14ac:dyDescent="0.3">
      <c r="C31" s="9" t="s">
        <v>770</v>
      </c>
      <c r="D31" s="9" t="s">
        <v>770</v>
      </c>
      <c r="E31" s="53">
        <v>1</v>
      </c>
      <c r="F31" s="54">
        <v>2</v>
      </c>
      <c r="G31" s="54">
        <v>1</v>
      </c>
      <c r="H31" s="35"/>
      <c r="I31" s="35"/>
      <c r="J31" s="35"/>
    </row>
    <row r="32" spans="3:10" x14ac:dyDescent="0.3">
      <c r="C32" s="9" t="s">
        <v>451</v>
      </c>
      <c r="D32" s="9" t="s">
        <v>451</v>
      </c>
      <c r="E32" s="53">
        <v>1</v>
      </c>
      <c r="F32" s="54">
        <v>2</v>
      </c>
      <c r="G32" s="54">
        <v>1</v>
      </c>
      <c r="H32" s="35"/>
      <c r="I32" s="35"/>
      <c r="J32" s="35"/>
    </row>
    <row r="33" spans="3:10" x14ac:dyDescent="0.3">
      <c r="C33" s="9" t="s">
        <v>771</v>
      </c>
      <c r="D33" s="9" t="s">
        <v>771</v>
      </c>
      <c r="E33" s="53">
        <v>1</v>
      </c>
      <c r="F33" s="54">
        <v>2</v>
      </c>
      <c r="G33" s="54">
        <v>1</v>
      </c>
      <c r="H33" s="35"/>
      <c r="I33" s="35"/>
      <c r="J33" s="35"/>
    </row>
    <row r="34" spans="3:10" x14ac:dyDescent="0.3">
      <c r="C34" s="9" t="s">
        <v>772</v>
      </c>
      <c r="D34" s="9" t="s">
        <v>772</v>
      </c>
      <c r="E34" s="53">
        <v>1</v>
      </c>
      <c r="F34" s="54">
        <v>2</v>
      </c>
      <c r="G34" s="54">
        <v>1</v>
      </c>
      <c r="H34" s="35"/>
      <c r="I34" s="35"/>
      <c r="J34" s="35"/>
    </row>
    <row r="35" spans="3:10" x14ac:dyDescent="0.3">
      <c r="C35" s="9" t="s">
        <v>773</v>
      </c>
      <c r="D35" s="9" t="s">
        <v>773</v>
      </c>
      <c r="E35" s="53">
        <v>1</v>
      </c>
      <c r="F35" s="54">
        <v>2</v>
      </c>
      <c r="G35" s="54">
        <v>1</v>
      </c>
      <c r="H35" s="35"/>
      <c r="I35" s="35"/>
      <c r="J35" s="35"/>
    </row>
    <row r="36" spans="3:10" x14ac:dyDescent="0.3">
      <c r="C36" s="9" t="s">
        <v>774</v>
      </c>
      <c r="D36" s="9" t="s">
        <v>774</v>
      </c>
      <c r="E36" s="53">
        <v>1</v>
      </c>
      <c r="F36" s="54">
        <v>2</v>
      </c>
      <c r="G36" s="54">
        <v>1</v>
      </c>
      <c r="H36" s="35"/>
      <c r="I36" s="35"/>
      <c r="J36" s="35"/>
    </row>
    <row r="37" spans="3:10" x14ac:dyDescent="0.3">
      <c r="C37" s="9" t="s">
        <v>775</v>
      </c>
      <c r="D37" s="9" t="s">
        <v>775</v>
      </c>
      <c r="E37" s="53">
        <v>1</v>
      </c>
      <c r="F37" s="54">
        <v>2</v>
      </c>
      <c r="G37" s="54">
        <v>1</v>
      </c>
      <c r="H37" s="35"/>
      <c r="I37" s="35"/>
      <c r="J37" s="35"/>
    </row>
    <row r="38" spans="3:10" s="7" customFormat="1" x14ac:dyDescent="0.3">
      <c r="C38" s="9" t="s">
        <v>776</v>
      </c>
      <c r="D38" s="9" t="s">
        <v>776</v>
      </c>
      <c r="E38" s="53">
        <v>1</v>
      </c>
      <c r="F38" s="54">
        <v>2</v>
      </c>
      <c r="G38" s="54">
        <v>1</v>
      </c>
    </row>
    <row r="39" spans="3:10" s="7" customFormat="1" x14ac:dyDescent="0.3">
      <c r="C39" s="9" t="s">
        <v>777</v>
      </c>
      <c r="D39" s="9" t="s">
        <v>777</v>
      </c>
      <c r="E39" s="53">
        <v>1</v>
      </c>
      <c r="F39" s="54">
        <v>2</v>
      </c>
      <c r="G39" s="54">
        <v>1</v>
      </c>
    </row>
    <row r="40" spans="3:10" x14ac:dyDescent="0.3">
      <c r="C40" s="9" t="s">
        <v>778</v>
      </c>
      <c r="D40" s="9" t="s">
        <v>778</v>
      </c>
      <c r="E40" s="53">
        <v>1</v>
      </c>
      <c r="F40" s="54">
        <v>2</v>
      </c>
      <c r="G40" s="54">
        <v>1</v>
      </c>
    </row>
    <row r="41" spans="3:10" x14ac:dyDescent="0.3">
      <c r="C41" s="9" t="s">
        <v>461</v>
      </c>
      <c r="D41" s="9" t="s">
        <v>461</v>
      </c>
      <c r="E41" s="53">
        <v>1</v>
      </c>
      <c r="F41" s="54">
        <v>2</v>
      </c>
      <c r="G41" s="54">
        <v>1</v>
      </c>
    </row>
    <row r="42" spans="3:10" x14ac:dyDescent="0.3">
      <c r="C42" s="9" t="s">
        <v>779</v>
      </c>
      <c r="D42" s="9" t="s">
        <v>779</v>
      </c>
      <c r="E42" s="53">
        <v>1</v>
      </c>
      <c r="F42" s="54">
        <v>2</v>
      </c>
      <c r="G42" s="54">
        <v>1</v>
      </c>
    </row>
    <row r="43" spans="3:10" x14ac:dyDescent="0.3">
      <c r="C43" s="9" t="s">
        <v>780</v>
      </c>
      <c r="D43" s="9" t="s">
        <v>780</v>
      </c>
      <c r="E43" s="53">
        <v>1</v>
      </c>
      <c r="F43" s="54">
        <v>2</v>
      </c>
      <c r="G43" s="54">
        <v>1</v>
      </c>
    </row>
    <row r="44" spans="3:10" x14ac:dyDescent="0.3">
      <c r="C44" s="9" t="s">
        <v>497</v>
      </c>
      <c r="D44" s="9" t="s">
        <v>497</v>
      </c>
      <c r="E44" s="53">
        <v>1</v>
      </c>
      <c r="F44" s="54">
        <v>2</v>
      </c>
      <c r="G44" s="54">
        <v>1</v>
      </c>
    </row>
    <row r="45" spans="3:10" x14ac:dyDescent="0.3">
      <c r="C45" s="9" t="s">
        <v>470</v>
      </c>
      <c r="D45" s="9" t="s">
        <v>470</v>
      </c>
      <c r="E45" s="53">
        <v>1</v>
      </c>
      <c r="F45" s="54">
        <v>2</v>
      </c>
      <c r="G45" s="54">
        <v>1</v>
      </c>
    </row>
    <row r="46" spans="3:10" x14ac:dyDescent="0.3">
      <c r="C46" s="9" t="s">
        <v>781</v>
      </c>
      <c r="D46" s="9" t="s">
        <v>781</v>
      </c>
      <c r="E46" s="53">
        <v>1</v>
      </c>
      <c r="F46" s="54">
        <v>2</v>
      </c>
      <c r="G46" s="54">
        <v>1</v>
      </c>
    </row>
    <row r="47" spans="3:10" x14ac:dyDescent="0.3">
      <c r="C47" s="9" t="s">
        <v>472</v>
      </c>
      <c r="D47" s="9" t="s">
        <v>472</v>
      </c>
      <c r="E47" s="53">
        <v>1</v>
      </c>
      <c r="F47" s="54">
        <v>2</v>
      </c>
      <c r="G47" s="54">
        <v>1</v>
      </c>
    </row>
    <row r="48" spans="3:10" x14ac:dyDescent="0.3">
      <c r="C48" s="9" t="s">
        <v>782</v>
      </c>
      <c r="D48" s="9" t="s">
        <v>782</v>
      </c>
      <c r="E48" s="53">
        <v>1</v>
      </c>
      <c r="F48" s="54">
        <v>2</v>
      </c>
      <c r="G48" s="54">
        <v>1</v>
      </c>
    </row>
    <row r="49" spans="3:7" x14ac:dyDescent="0.3">
      <c r="C49" s="9" t="s">
        <v>783</v>
      </c>
      <c r="D49" s="9" t="s">
        <v>783</v>
      </c>
      <c r="E49" s="53">
        <v>1</v>
      </c>
      <c r="F49" s="54">
        <v>2</v>
      </c>
      <c r="G49" s="54">
        <v>1</v>
      </c>
    </row>
    <row r="50" spans="3:7" x14ac:dyDescent="0.3">
      <c r="C50" s="9" t="s">
        <v>784</v>
      </c>
      <c r="D50" s="9" t="s">
        <v>784</v>
      </c>
      <c r="E50" s="53">
        <v>1</v>
      </c>
      <c r="F50" s="54">
        <v>2</v>
      </c>
      <c r="G50" s="54">
        <v>1</v>
      </c>
    </row>
    <row r="51" spans="3:7" x14ac:dyDescent="0.3">
      <c r="C51" s="9" t="s">
        <v>785</v>
      </c>
      <c r="D51" s="9" t="s">
        <v>785</v>
      </c>
      <c r="E51" s="53">
        <v>1</v>
      </c>
      <c r="F51" s="54">
        <v>2</v>
      </c>
      <c r="G51" s="54">
        <v>1</v>
      </c>
    </row>
    <row r="52" spans="3:7" x14ac:dyDescent="0.3">
      <c r="C52" s="9" t="s">
        <v>786</v>
      </c>
      <c r="D52" s="9" t="s">
        <v>786</v>
      </c>
      <c r="E52" s="53">
        <v>1</v>
      </c>
      <c r="F52" s="54">
        <v>2</v>
      </c>
      <c r="G52" s="54">
        <v>1</v>
      </c>
    </row>
    <row r="53" spans="3:7" x14ac:dyDescent="0.3">
      <c r="C53" s="9" t="s">
        <v>787</v>
      </c>
      <c r="D53" s="9" t="s">
        <v>787</v>
      </c>
      <c r="E53" s="53">
        <v>1</v>
      </c>
      <c r="F53" s="54">
        <v>2</v>
      </c>
      <c r="G53" s="54">
        <v>1</v>
      </c>
    </row>
    <row r="54" spans="3:7" x14ac:dyDescent="0.3">
      <c r="C54" s="9" t="s">
        <v>356</v>
      </c>
      <c r="D54" s="9" t="s">
        <v>356</v>
      </c>
      <c r="E54" s="53">
        <v>1</v>
      </c>
      <c r="F54" s="54">
        <v>2</v>
      </c>
      <c r="G54" s="54">
        <v>1</v>
      </c>
    </row>
    <row r="55" spans="3:7" x14ac:dyDescent="0.3">
      <c r="C55" s="9" t="s">
        <v>788</v>
      </c>
      <c r="D55" s="9" t="s">
        <v>788</v>
      </c>
      <c r="E55" s="53">
        <v>1</v>
      </c>
      <c r="F55" s="54">
        <v>2</v>
      </c>
      <c r="G55" s="54">
        <v>1</v>
      </c>
    </row>
    <row r="56" spans="3:7" x14ac:dyDescent="0.3">
      <c r="C56" s="9" t="s">
        <v>482</v>
      </c>
      <c r="D56" s="9" t="s">
        <v>482</v>
      </c>
      <c r="E56" s="53">
        <v>1</v>
      </c>
      <c r="F56" s="54">
        <v>2</v>
      </c>
      <c r="G56" s="54">
        <v>1</v>
      </c>
    </row>
    <row r="57" spans="3:7" x14ac:dyDescent="0.3">
      <c r="C57" s="9" t="s">
        <v>485</v>
      </c>
      <c r="D57" s="9" t="s">
        <v>485</v>
      </c>
      <c r="E57" s="53">
        <v>1</v>
      </c>
      <c r="F57" s="54">
        <v>2</v>
      </c>
      <c r="G57" s="54">
        <v>1</v>
      </c>
    </row>
    <row r="58" spans="3:7" x14ac:dyDescent="0.3">
      <c r="C58" s="9" t="s">
        <v>486</v>
      </c>
      <c r="D58" s="9" t="s">
        <v>486</v>
      </c>
      <c r="E58" s="53">
        <v>1</v>
      </c>
      <c r="F58" s="54">
        <v>2</v>
      </c>
      <c r="G58" s="54">
        <v>1</v>
      </c>
    </row>
    <row r="59" spans="3:7" x14ac:dyDescent="0.3">
      <c r="C59" s="9" t="s">
        <v>789</v>
      </c>
      <c r="D59" s="9" t="s">
        <v>789</v>
      </c>
      <c r="E59" s="53">
        <v>1</v>
      </c>
      <c r="F59" s="54">
        <v>2</v>
      </c>
      <c r="G59" s="54">
        <v>1</v>
      </c>
    </row>
    <row r="60" spans="3:7" x14ac:dyDescent="0.3">
      <c r="C60" s="9" t="s">
        <v>790</v>
      </c>
      <c r="D60" s="9" t="s">
        <v>790</v>
      </c>
      <c r="E60" s="53">
        <v>1</v>
      </c>
      <c r="F60" s="54">
        <v>2</v>
      </c>
      <c r="G60" s="54">
        <v>1</v>
      </c>
    </row>
    <row r="61" spans="3:7" x14ac:dyDescent="0.3">
      <c r="C61" s="9" t="s">
        <v>791</v>
      </c>
      <c r="D61" s="9" t="s">
        <v>791</v>
      </c>
      <c r="E61" s="53">
        <v>1</v>
      </c>
      <c r="F61" s="54">
        <v>2</v>
      </c>
      <c r="G61" s="54">
        <v>1</v>
      </c>
    </row>
    <row r="62" spans="3:7" x14ac:dyDescent="0.3">
      <c r="C62" s="9" t="s">
        <v>489</v>
      </c>
      <c r="D62" s="9" t="s">
        <v>489</v>
      </c>
      <c r="E62" s="53">
        <v>1</v>
      </c>
      <c r="F62" s="54">
        <v>2</v>
      </c>
      <c r="G62" s="54">
        <v>1</v>
      </c>
    </row>
    <row r="63" spans="3:7" x14ac:dyDescent="0.3">
      <c r="C63" s="9" t="s">
        <v>792</v>
      </c>
      <c r="D63" s="9" t="s">
        <v>792</v>
      </c>
      <c r="E63" s="53">
        <v>1</v>
      </c>
      <c r="F63" s="54">
        <v>2</v>
      </c>
      <c r="G63" s="54">
        <v>1</v>
      </c>
    </row>
    <row r="64" spans="3:7" x14ac:dyDescent="0.3">
      <c r="C64" s="9" t="s">
        <v>491</v>
      </c>
      <c r="D64" s="9" t="s">
        <v>491</v>
      </c>
      <c r="E64" s="53">
        <v>1</v>
      </c>
      <c r="F64" s="54">
        <v>2</v>
      </c>
      <c r="G64" s="54">
        <v>1</v>
      </c>
    </row>
    <row r="65" spans="3:7" x14ac:dyDescent="0.3">
      <c r="C65" s="9" t="s">
        <v>793</v>
      </c>
      <c r="D65" s="9" t="s">
        <v>793</v>
      </c>
      <c r="E65" s="53">
        <v>1</v>
      </c>
      <c r="F65" s="54">
        <v>2</v>
      </c>
      <c r="G65" s="54">
        <v>1</v>
      </c>
    </row>
    <row r="66" spans="3:7" x14ac:dyDescent="0.3">
      <c r="C66" s="9" t="s">
        <v>492</v>
      </c>
      <c r="D66" s="9" t="s">
        <v>492</v>
      </c>
      <c r="E66" s="53">
        <v>1</v>
      </c>
      <c r="F66" s="54">
        <v>2</v>
      </c>
      <c r="G66" s="54">
        <v>1</v>
      </c>
    </row>
    <row r="67" spans="3:7" x14ac:dyDescent="0.3">
      <c r="C67" s="9" t="s">
        <v>794</v>
      </c>
      <c r="D67" s="9" t="s">
        <v>794</v>
      </c>
      <c r="E67" s="53">
        <v>1</v>
      </c>
      <c r="F67" s="54">
        <v>2</v>
      </c>
      <c r="G67" s="54">
        <v>1</v>
      </c>
    </row>
  </sheetData>
  <autoFilter ref="C1:J1" xr:uid="{00000000-0009-0000-0000-000007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E86"/>
  <sheetViews>
    <sheetView workbookViewId="0">
      <pane xSplit="1" ySplit="2" topLeftCell="B40" activePane="bottomRight" state="frozen"/>
      <selection pane="topRight" activeCell="G8" sqref="G8:M35"/>
      <selection pane="bottomLeft" activeCell="G8" sqref="G8:M35"/>
      <selection pane="bottomRight" activeCell="A81" sqref="A81"/>
    </sheetView>
  </sheetViews>
  <sheetFormatPr defaultColWidth="8.6640625" defaultRowHeight="14.4" x14ac:dyDescent="0.3"/>
  <cols>
    <col min="1" max="1" width="22.44140625" style="9" bestFit="1" customWidth="1"/>
    <col min="2" max="2" width="10" customWidth="1"/>
  </cols>
  <sheetData>
    <row r="1" spans="1:2" ht="15" customHeight="1" x14ac:dyDescent="0.3">
      <c r="A1" s="654" t="s">
        <v>495</v>
      </c>
      <c r="B1" s="654" t="s">
        <v>795</v>
      </c>
    </row>
    <row r="2" spans="1:2" x14ac:dyDescent="0.3">
      <c r="A2" s="655"/>
      <c r="B2" s="655"/>
    </row>
    <row r="3" spans="1:2" x14ac:dyDescent="0.3">
      <c r="A3" s="9" t="s">
        <v>55</v>
      </c>
      <c r="B3" s="5">
        <v>450</v>
      </c>
    </row>
    <row r="4" spans="1:2" x14ac:dyDescent="0.3">
      <c r="A4" s="9" t="s">
        <v>413</v>
      </c>
      <c r="B4" s="5">
        <v>450</v>
      </c>
    </row>
    <row r="5" spans="1:2" x14ac:dyDescent="0.3">
      <c r="A5" s="9" t="s">
        <v>414</v>
      </c>
      <c r="B5" s="5">
        <v>450</v>
      </c>
    </row>
    <row r="6" spans="1:2" x14ac:dyDescent="0.3">
      <c r="A6" s="9" t="s">
        <v>415</v>
      </c>
      <c r="B6" s="5">
        <v>240</v>
      </c>
    </row>
    <row r="7" spans="1:2" x14ac:dyDescent="0.3">
      <c r="A7" s="9" t="s">
        <v>417</v>
      </c>
      <c r="B7">
        <v>500</v>
      </c>
    </row>
    <row r="8" spans="1:2" x14ac:dyDescent="0.3">
      <c r="A8" s="9" t="s">
        <v>418</v>
      </c>
      <c r="B8" s="5">
        <v>600</v>
      </c>
    </row>
    <row r="9" spans="1:2" x14ac:dyDescent="0.3">
      <c r="A9" s="9" t="s">
        <v>419</v>
      </c>
      <c r="B9" s="5">
        <v>450</v>
      </c>
    </row>
    <row r="10" spans="1:2" x14ac:dyDescent="0.3">
      <c r="A10" s="9" t="s">
        <v>420</v>
      </c>
      <c r="B10" s="373">
        <v>600</v>
      </c>
    </row>
    <row r="11" spans="1:2" x14ac:dyDescent="0.3">
      <c r="A11" s="9" t="s">
        <v>421</v>
      </c>
      <c r="B11" s="5">
        <v>400</v>
      </c>
    </row>
    <row r="12" spans="1:2" x14ac:dyDescent="0.3">
      <c r="A12" s="9" t="s">
        <v>422</v>
      </c>
      <c r="B12" s="5">
        <v>80</v>
      </c>
    </row>
    <row r="13" spans="1:2" x14ac:dyDescent="0.3">
      <c r="A13" s="9" t="s">
        <v>423</v>
      </c>
      <c r="B13" s="5">
        <v>400</v>
      </c>
    </row>
    <row r="14" spans="1:2" x14ac:dyDescent="0.3">
      <c r="A14" s="9" t="s">
        <v>424</v>
      </c>
      <c r="B14" s="5">
        <v>100</v>
      </c>
    </row>
    <row r="15" spans="1:2" x14ac:dyDescent="0.3">
      <c r="A15" s="9" t="s">
        <v>425</v>
      </c>
      <c r="B15" s="42">
        <v>240</v>
      </c>
    </row>
    <row r="16" spans="1:2" x14ac:dyDescent="0.3">
      <c r="A16" s="9" t="s">
        <v>426</v>
      </c>
      <c r="B16" s="5">
        <v>750</v>
      </c>
    </row>
    <row r="17" spans="1:2" x14ac:dyDescent="0.3">
      <c r="A17" s="19" t="s">
        <v>427</v>
      </c>
      <c r="B17" s="5">
        <v>480</v>
      </c>
    </row>
    <row r="18" spans="1:2" x14ac:dyDescent="0.3">
      <c r="A18" s="9" t="s">
        <v>428</v>
      </c>
      <c r="B18" s="5">
        <v>300</v>
      </c>
    </row>
    <row r="19" spans="1:2" x14ac:dyDescent="0.3">
      <c r="A19" s="9" t="s">
        <v>429</v>
      </c>
      <c r="B19" s="5">
        <v>600</v>
      </c>
    </row>
    <row r="20" spans="1:2" x14ac:dyDescent="0.3">
      <c r="A20" s="9" t="s">
        <v>430</v>
      </c>
      <c r="B20" s="5">
        <v>800</v>
      </c>
    </row>
    <row r="21" spans="1:2" x14ac:dyDescent="0.3">
      <c r="A21" s="9" t="s">
        <v>431</v>
      </c>
      <c r="B21" s="5">
        <v>400</v>
      </c>
    </row>
    <row r="22" spans="1:2" x14ac:dyDescent="0.3">
      <c r="A22" s="9" t="s">
        <v>432</v>
      </c>
      <c r="B22" s="5">
        <v>400</v>
      </c>
    </row>
    <row r="23" spans="1:2" x14ac:dyDescent="0.3">
      <c r="A23" s="9" t="s">
        <v>433</v>
      </c>
      <c r="B23" s="5">
        <v>800</v>
      </c>
    </row>
    <row r="24" spans="1:2" x14ac:dyDescent="0.3">
      <c r="A24" s="9" t="s">
        <v>435</v>
      </c>
      <c r="B24" s="5">
        <v>400</v>
      </c>
    </row>
    <row r="25" spans="1:2" x14ac:dyDescent="0.3">
      <c r="A25" s="9" t="s">
        <v>436</v>
      </c>
      <c r="B25" s="5">
        <v>400</v>
      </c>
    </row>
    <row r="26" spans="1:2" x14ac:dyDescent="0.3">
      <c r="A26" s="9" t="s">
        <v>437</v>
      </c>
      <c r="B26" s="5">
        <v>480</v>
      </c>
    </row>
    <row r="27" spans="1:2" x14ac:dyDescent="0.3">
      <c r="A27" s="9" t="s">
        <v>438</v>
      </c>
      <c r="B27" s="5">
        <v>480</v>
      </c>
    </row>
    <row r="28" spans="1:2" x14ac:dyDescent="0.3">
      <c r="A28" s="9" t="s">
        <v>439</v>
      </c>
      <c r="B28" s="5">
        <v>480</v>
      </c>
    </row>
    <row r="29" spans="1:2" x14ac:dyDescent="0.3">
      <c r="A29" s="9" t="s">
        <v>440</v>
      </c>
      <c r="B29" s="5">
        <v>480</v>
      </c>
    </row>
    <row r="30" spans="1:2" x14ac:dyDescent="0.3">
      <c r="A30" s="9" t="s">
        <v>441</v>
      </c>
      <c r="B30" s="5">
        <v>300</v>
      </c>
    </row>
    <row r="31" spans="1:2" x14ac:dyDescent="0.3">
      <c r="A31" s="9" t="s">
        <v>442</v>
      </c>
      <c r="B31" s="5">
        <v>300</v>
      </c>
    </row>
    <row r="32" spans="1:2" x14ac:dyDescent="0.3">
      <c r="A32" s="9" t="s">
        <v>443</v>
      </c>
      <c r="B32" s="5">
        <v>500</v>
      </c>
    </row>
    <row r="33" spans="1:2" x14ac:dyDescent="0.3">
      <c r="A33" s="9" t="s">
        <v>444</v>
      </c>
      <c r="B33" s="5">
        <v>500</v>
      </c>
    </row>
    <row r="34" spans="1:2" x14ac:dyDescent="0.3">
      <c r="A34" s="9" t="s">
        <v>445</v>
      </c>
      <c r="B34" s="5">
        <v>144</v>
      </c>
    </row>
    <row r="35" spans="1:2" x14ac:dyDescent="0.3">
      <c r="A35" s="9" t="s">
        <v>446</v>
      </c>
      <c r="B35" s="5">
        <v>240</v>
      </c>
    </row>
    <row r="36" spans="1:2" x14ac:dyDescent="0.3">
      <c r="A36" s="9" t="s">
        <v>447</v>
      </c>
      <c r="B36" s="5">
        <v>450</v>
      </c>
    </row>
    <row r="37" spans="1:2" x14ac:dyDescent="0.3">
      <c r="A37" s="9" t="s">
        <v>448</v>
      </c>
      <c r="B37" s="5">
        <v>80</v>
      </c>
    </row>
    <row r="38" spans="1:2" x14ac:dyDescent="0.3">
      <c r="A38" s="9" t="s">
        <v>449</v>
      </c>
      <c r="B38" s="5">
        <v>80</v>
      </c>
    </row>
    <row r="39" spans="1:2" x14ac:dyDescent="0.3">
      <c r="A39" s="9" t="s">
        <v>450</v>
      </c>
      <c r="B39" s="5">
        <v>400</v>
      </c>
    </row>
    <row r="40" spans="1:2" x14ac:dyDescent="0.3">
      <c r="A40" s="19" t="s">
        <v>451</v>
      </c>
      <c r="B40" s="5">
        <v>500</v>
      </c>
    </row>
    <row r="41" spans="1:2" x14ac:dyDescent="0.3">
      <c r="A41" s="9" t="s">
        <v>452</v>
      </c>
      <c r="B41" s="5">
        <v>500</v>
      </c>
    </row>
    <row r="42" spans="1:2" x14ac:dyDescent="0.3">
      <c r="A42" s="9" t="s">
        <v>453</v>
      </c>
      <c r="B42" s="5">
        <v>960</v>
      </c>
    </row>
    <row r="43" spans="1:2" x14ac:dyDescent="0.3">
      <c r="A43" s="9" t="s">
        <v>454</v>
      </c>
      <c r="B43" s="5">
        <v>600</v>
      </c>
    </row>
    <row r="44" spans="1:2" x14ac:dyDescent="0.3">
      <c r="A44" s="9" t="s">
        <v>455</v>
      </c>
      <c r="B44" s="5">
        <v>200</v>
      </c>
    </row>
    <row r="45" spans="1:2" x14ac:dyDescent="0.3">
      <c r="A45" s="9" t="s">
        <v>456</v>
      </c>
      <c r="B45" s="5">
        <v>140</v>
      </c>
    </row>
    <row r="46" spans="1:2" x14ac:dyDescent="0.3">
      <c r="A46" s="9" t="s">
        <v>457</v>
      </c>
      <c r="B46" s="5">
        <v>120</v>
      </c>
    </row>
    <row r="47" spans="1:2" x14ac:dyDescent="0.3">
      <c r="A47" s="9" t="s">
        <v>458</v>
      </c>
      <c r="B47" s="5">
        <v>450</v>
      </c>
    </row>
    <row r="48" spans="1:2" x14ac:dyDescent="0.3">
      <c r="A48" s="9" t="s">
        <v>459</v>
      </c>
      <c r="B48" s="5">
        <v>240</v>
      </c>
    </row>
    <row r="49" spans="1:5" x14ac:dyDescent="0.3">
      <c r="A49" s="9" t="s">
        <v>460</v>
      </c>
      <c r="B49" s="5">
        <v>480</v>
      </c>
    </row>
    <row r="50" spans="1:5" x14ac:dyDescent="0.3">
      <c r="A50" s="9" t="s">
        <v>461</v>
      </c>
      <c r="B50" s="5">
        <v>400</v>
      </c>
    </row>
    <row r="51" spans="1:5" x14ac:dyDescent="0.3">
      <c r="A51" s="9" t="s">
        <v>462</v>
      </c>
      <c r="B51" s="5">
        <v>120</v>
      </c>
    </row>
    <row r="52" spans="1:5" x14ac:dyDescent="0.3">
      <c r="A52" s="9" t="s">
        <v>497</v>
      </c>
      <c r="B52" s="5">
        <v>450</v>
      </c>
    </row>
    <row r="53" spans="1:5" x14ac:dyDescent="0.3">
      <c r="A53" s="9" t="s">
        <v>464</v>
      </c>
      <c r="B53" s="5">
        <v>240</v>
      </c>
    </row>
    <row r="54" spans="1:5" x14ac:dyDescent="0.3">
      <c r="A54" s="9" t="s">
        <v>465</v>
      </c>
      <c r="B54" s="5">
        <v>450</v>
      </c>
    </row>
    <row r="55" spans="1:5" x14ac:dyDescent="0.3">
      <c r="A55" s="9" t="s">
        <v>466</v>
      </c>
      <c r="B55" s="5">
        <v>400</v>
      </c>
    </row>
    <row r="56" spans="1:5" x14ac:dyDescent="0.3">
      <c r="A56" s="9" t="s">
        <v>467</v>
      </c>
      <c r="B56" s="5">
        <v>400</v>
      </c>
    </row>
    <row r="57" spans="1:5" x14ac:dyDescent="0.3">
      <c r="A57" s="9" t="s">
        <v>468</v>
      </c>
      <c r="B57" s="5">
        <v>450</v>
      </c>
    </row>
    <row r="58" spans="1:5" x14ac:dyDescent="0.3">
      <c r="A58" s="9" t="s">
        <v>469</v>
      </c>
      <c r="B58" s="42">
        <v>600</v>
      </c>
      <c r="D58" s="5">
        <v>300</v>
      </c>
      <c r="E58" s="5">
        <v>360</v>
      </c>
    </row>
    <row r="59" spans="1:5" x14ac:dyDescent="0.3">
      <c r="A59" s="9" t="s">
        <v>470</v>
      </c>
      <c r="B59" s="5">
        <v>600</v>
      </c>
    </row>
    <row r="60" spans="1:5" x14ac:dyDescent="0.3">
      <c r="A60" s="9" t="s">
        <v>471</v>
      </c>
      <c r="B60" s="5">
        <v>400</v>
      </c>
    </row>
    <row r="61" spans="1:5" x14ac:dyDescent="0.3">
      <c r="A61" s="9" t="s">
        <v>472</v>
      </c>
      <c r="B61" s="5">
        <v>400</v>
      </c>
    </row>
    <row r="62" spans="1:5" x14ac:dyDescent="0.3">
      <c r="A62" s="9" t="s">
        <v>473</v>
      </c>
      <c r="B62" s="5">
        <v>600</v>
      </c>
    </row>
    <row r="63" spans="1:5" x14ac:dyDescent="0.3">
      <c r="A63" s="9" t="s">
        <v>474</v>
      </c>
      <c r="B63" s="5">
        <v>600</v>
      </c>
    </row>
    <row r="64" spans="1:5" x14ac:dyDescent="0.3">
      <c r="A64" s="9" t="s">
        <v>58</v>
      </c>
      <c r="B64" s="5">
        <v>400</v>
      </c>
    </row>
    <row r="65" spans="1:2" x14ac:dyDescent="0.3">
      <c r="A65" s="9" t="s">
        <v>475</v>
      </c>
      <c r="B65" s="5">
        <v>400</v>
      </c>
    </row>
    <row r="66" spans="1:2" x14ac:dyDescent="0.3">
      <c r="A66" s="9" t="s">
        <v>476</v>
      </c>
      <c r="B66" s="5">
        <v>400</v>
      </c>
    </row>
    <row r="67" spans="1:2" x14ac:dyDescent="0.3">
      <c r="A67" s="9" t="s">
        <v>477</v>
      </c>
      <c r="B67" s="5">
        <v>400</v>
      </c>
    </row>
    <row r="68" spans="1:2" x14ac:dyDescent="0.3">
      <c r="A68" s="9" t="s">
        <v>478</v>
      </c>
      <c r="B68" s="5">
        <v>400</v>
      </c>
    </row>
    <row r="69" spans="1:2" x14ac:dyDescent="0.3">
      <c r="A69" s="9" t="s">
        <v>479</v>
      </c>
      <c r="B69" s="5">
        <v>400</v>
      </c>
    </row>
    <row r="70" spans="1:2" x14ac:dyDescent="0.3">
      <c r="A70" s="117" t="s">
        <v>480</v>
      </c>
      <c r="B70" s="5">
        <v>400</v>
      </c>
    </row>
    <row r="71" spans="1:2" x14ac:dyDescent="0.3">
      <c r="A71" s="117" t="s">
        <v>481</v>
      </c>
      <c r="B71" s="5">
        <v>400</v>
      </c>
    </row>
    <row r="72" spans="1:2" x14ac:dyDescent="0.3">
      <c r="A72" s="217" t="s">
        <v>482</v>
      </c>
      <c r="B72" s="5">
        <v>600</v>
      </c>
    </row>
    <row r="73" spans="1:2" x14ac:dyDescent="0.3">
      <c r="A73" t="s">
        <v>483</v>
      </c>
      <c r="B73" s="5">
        <v>400</v>
      </c>
    </row>
    <row r="74" spans="1:2" x14ac:dyDescent="0.3">
      <c r="A74" s="9" t="s">
        <v>484</v>
      </c>
      <c r="B74" s="42">
        <v>600</v>
      </c>
    </row>
    <row r="75" spans="1:2" x14ac:dyDescent="0.3">
      <c r="A75" s="9" t="s">
        <v>485</v>
      </c>
      <c r="B75" s="42">
        <v>450</v>
      </c>
    </row>
    <row r="76" spans="1:2" x14ac:dyDescent="0.3">
      <c r="A76" s="9" t="s">
        <v>486</v>
      </c>
      <c r="B76" s="42">
        <v>450</v>
      </c>
    </row>
    <row r="77" spans="1:2" x14ac:dyDescent="0.3">
      <c r="A77" s="9" t="s">
        <v>487</v>
      </c>
      <c r="B77" s="42">
        <v>400</v>
      </c>
    </row>
    <row r="78" spans="1:2" x14ac:dyDescent="0.3">
      <c r="A78" s="9" t="s">
        <v>498</v>
      </c>
      <c r="B78" s="42">
        <v>280</v>
      </c>
    </row>
    <row r="79" spans="1:2" x14ac:dyDescent="0.3">
      <c r="A79" s="9" t="s">
        <v>499</v>
      </c>
      <c r="B79" s="42">
        <v>280</v>
      </c>
    </row>
    <row r="80" spans="1:2" x14ac:dyDescent="0.3">
      <c r="A80" s="9" t="s">
        <v>1237</v>
      </c>
      <c r="B80">
        <v>280</v>
      </c>
    </row>
    <row r="81" spans="1:2" x14ac:dyDescent="0.3">
      <c r="A81" s="9" t="s">
        <v>489</v>
      </c>
      <c r="B81">
        <v>450</v>
      </c>
    </row>
    <row r="82" spans="1:2" x14ac:dyDescent="0.3">
      <c r="A82" s="9" t="s">
        <v>490</v>
      </c>
      <c r="B82">
        <v>450</v>
      </c>
    </row>
    <row r="83" spans="1:2" x14ac:dyDescent="0.3">
      <c r="A83" s="9" t="s">
        <v>491</v>
      </c>
      <c r="B83">
        <v>240</v>
      </c>
    </row>
    <row r="84" spans="1:2" x14ac:dyDescent="0.3">
      <c r="A84" s="9" t="s">
        <v>492</v>
      </c>
      <c r="B84">
        <v>800</v>
      </c>
    </row>
    <row r="85" spans="1:2" x14ac:dyDescent="0.3">
      <c r="A85" s="9" t="s">
        <v>493</v>
      </c>
      <c r="B85">
        <v>800</v>
      </c>
    </row>
    <row r="86" spans="1:2" x14ac:dyDescent="0.3">
      <c r="A86" s="9" t="s">
        <v>494</v>
      </c>
      <c r="B86">
        <v>300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FF0000"/>
  </sheetPr>
  <dimension ref="A1:J127"/>
  <sheetViews>
    <sheetView topLeftCell="A19" workbookViewId="0">
      <selection activeCell="E5" sqref="E5:G5"/>
    </sheetView>
  </sheetViews>
  <sheetFormatPr defaultColWidth="8.6640625" defaultRowHeight="14.4" x14ac:dyDescent="0.3"/>
  <cols>
    <col min="1" max="1" width="22.44140625" bestFit="1" customWidth="1"/>
    <col min="2" max="2" width="10.44140625" bestFit="1" customWidth="1"/>
  </cols>
  <sheetData>
    <row r="1" spans="1:10" x14ac:dyDescent="0.3">
      <c r="A1" t="s">
        <v>796</v>
      </c>
      <c r="B1" t="s">
        <v>797</v>
      </c>
      <c r="C1" t="s">
        <v>798</v>
      </c>
      <c r="D1" t="s">
        <v>799</v>
      </c>
      <c r="E1" t="s">
        <v>17</v>
      </c>
      <c r="F1" t="s">
        <v>103</v>
      </c>
      <c r="G1" t="s">
        <v>104</v>
      </c>
      <c r="H1" t="s">
        <v>105</v>
      </c>
      <c r="I1" t="s">
        <v>107</v>
      </c>
      <c r="J1" t="s">
        <v>109</v>
      </c>
    </row>
    <row r="2" spans="1:10" x14ac:dyDescent="0.3">
      <c r="A2" t="s">
        <v>752</v>
      </c>
    </row>
    <row r="3" spans="1:10" x14ac:dyDescent="0.3">
      <c r="A3" t="s">
        <v>506</v>
      </c>
      <c r="E3">
        <v>0.3</v>
      </c>
      <c r="F3">
        <v>0.35</v>
      </c>
      <c r="G3">
        <v>0.32</v>
      </c>
      <c r="H3">
        <v>0.32</v>
      </c>
      <c r="I3">
        <v>0.32</v>
      </c>
      <c r="J3">
        <v>0.32</v>
      </c>
    </row>
    <row r="4" spans="1:10" x14ac:dyDescent="0.3">
      <c r="A4" s="11" t="s">
        <v>506</v>
      </c>
      <c r="B4" s="11"/>
      <c r="C4" s="11" t="s">
        <v>639</v>
      </c>
      <c r="D4" s="11"/>
      <c r="E4" s="11">
        <v>9999</v>
      </c>
      <c r="F4" s="11">
        <v>9999</v>
      </c>
      <c r="G4" s="11">
        <v>9999</v>
      </c>
      <c r="H4" s="11">
        <v>9999</v>
      </c>
      <c r="I4" s="11">
        <v>9999</v>
      </c>
      <c r="J4" s="11">
        <v>9999</v>
      </c>
    </row>
    <row r="5" spans="1:10" x14ac:dyDescent="0.3">
      <c r="A5" t="s">
        <v>417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</row>
    <row r="6" spans="1:10" x14ac:dyDescent="0.3">
      <c r="A6" t="s">
        <v>562</v>
      </c>
      <c r="E6">
        <v>0.85</v>
      </c>
      <c r="F6">
        <v>1</v>
      </c>
      <c r="G6">
        <v>0.9</v>
      </c>
      <c r="H6">
        <v>0.9</v>
      </c>
      <c r="I6">
        <v>0.9</v>
      </c>
      <c r="J6">
        <v>0.9</v>
      </c>
    </row>
    <row r="7" spans="1:10" x14ac:dyDescent="0.3">
      <c r="A7" t="s">
        <v>418</v>
      </c>
      <c r="E7">
        <v>0.25</v>
      </c>
      <c r="F7">
        <v>0.25</v>
      </c>
      <c r="G7">
        <v>0.25</v>
      </c>
      <c r="H7">
        <v>0.25</v>
      </c>
      <c r="I7">
        <v>0.25</v>
      </c>
      <c r="J7">
        <v>0.25</v>
      </c>
    </row>
    <row r="8" spans="1:10" x14ac:dyDescent="0.3">
      <c r="A8" t="s">
        <v>419</v>
      </c>
      <c r="E8">
        <v>0.38</v>
      </c>
      <c r="F8">
        <v>0.45</v>
      </c>
      <c r="G8">
        <v>0.42499999999999999</v>
      </c>
      <c r="H8">
        <v>0.42499999999999999</v>
      </c>
      <c r="I8">
        <v>0.42499999999999999</v>
      </c>
      <c r="J8">
        <v>0.42499999999999999</v>
      </c>
    </row>
    <row r="9" spans="1:10" x14ac:dyDescent="0.3">
      <c r="A9" t="s">
        <v>422</v>
      </c>
      <c r="E9">
        <v>0.6</v>
      </c>
      <c r="F9">
        <v>0.7</v>
      </c>
      <c r="G9">
        <v>0.7</v>
      </c>
      <c r="H9">
        <v>0.7</v>
      </c>
      <c r="I9">
        <v>0.7</v>
      </c>
      <c r="J9">
        <v>0.7</v>
      </c>
    </row>
    <row r="10" spans="1:10" x14ac:dyDescent="0.3">
      <c r="A10" s="12" t="s">
        <v>422</v>
      </c>
      <c r="B10" s="12"/>
      <c r="C10" s="12" t="s">
        <v>640</v>
      </c>
      <c r="D10" s="12"/>
      <c r="E10" s="12">
        <v>9999</v>
      </c>
      <c r="F10" s="12">
        <v>9999</v>
      </c>
      <c r="G10" s="12">
        <v>9999</v>
      </c>
      <c r="H10" s="12">
        <v>9999</v>
      </c>
      <c r="I10" s="12">
        <v>9999</v>
      </c>
      <c r="J10" s="12">
        <v>9999</v>
      </c>
    </row>
    <row r="11" spans="1:10" x14ac:dyDescent="0.3">
      <c r="A11" t="s">
        <v>423</v>
      </c>
      <c r="E11">
        <v>0.28000000000000003</v>
      </c>
      <c r="F11">
        <v>0.33</v>
      </c>
      <c r="G11">
        <v>0.31</v>
      </c>
      <c r="H11">
        <v>0.31</v>
      </c>
      <c r="I11">
        <v>0.31</v>
      </c>
      <c r="J11">
        <v>0.31</v>
      </c>
    </row>
    <row r="12" spans="1:10" x14ac:dyDescent="0.3">
      <c r="A12" s="11" t="s">
        <v>423</v>
      </c>
      <c r="B12" s="11"/>
      <c r="C12" s="11" t="s">
        <v>639</v>
      </c>
      <c r="D12" s="11"/>
      <c r="E12" s="11">
        <v>0.3</v>
      </c>
      <c r="F12" s="11">
        <v>0.35</v>
      </c>
      <c r="G12" s="11">
        <v>0.33</v>
      </c>
      <c r="H12" s="11">
        <v>0.33</v>
      </c>
      <c r="I12" s="11">
        <v>0.33</v>
      </c>
      <c r="J12" s="11">
        <v>0.33</v>
      </c>
    </row>
    <row r="13" spans="1:10" x14ac:dyDescent="0.3">
      <c r="A13" t="s">
        <v>424</v>
      </c>
      <c r="E13">
        <v>0.8</v>
      </c>
      <c r="F13">
        <v>0.9</v>
      </c>
      <c r="G13">
        <v>0.85</v>
      </c>
      <c r="H13">
        <v>0.85</v>
      </c>
      <c r="I13">
        <v>0.85</v>
      </c>
      <c r="J13">
        <v>0.85</v>
      </c>
    </row>
    <row r="14" spans="1:10" x14ac:dyDescent="0.3">
      <c r="A14" t="s">
        <v>425</v>
      </c>
      <c r="E14">
        <v>0.4</v>
      </c>
      <c r="F14">
        <v>0.45</v>
      </c>
      <c r="G14">
        <v>0.45</v>
      </c>
      <c r="H14">
        <v>0.45</v>
      </c>
      <c r="I14">
        <v>0.45</v>
      </c>
      <c r="J14">
        <v>0.45</v>
      </c>
    </row>
    <row r="15" spans="1:10" x14ac:dyDescent="0.3">
      <c r="A15" t="s">
        <v>426</v>
      </c>
      <c r="E15">
        <v>0.3</v>
      </c>
      <c r="F15">
        <v>0.35</v>
      </c>
      <c r="G15">
        <v>0.32</v>
      </c>
      <c r="H15">
        <v>0.32</v>
      </c>
      <c r="I15">
        <v>0.32</v>
      </c>
      <c r="J15">
        <v>0.32</v>
      </c>
    </row>
    <row r="16" spans="1:10" x14ac:dyDescent="0.3">
      <c r="A16" s="11" t="s">
        <v>426</v>
      </c>
      <c r="B16" s="11"/>
      <c r="C16" s="11" t="s">
        <v>639</v>
      </c>
      <c r="D16" s="11"/>
      <c r="E16" s="11">
        <v>9999</v>
      </c>
      <c r="F16" s="11">
        <v>9999</v>
      </c>
      <c r="G16" s="11">
        <v>9999</v>
      </c>
      <c r="H16" s="11">
        <v>9999</v>
      </c>
      <c r="I16" s="11">
        <v>9999</v>
      </c>
      <c r="J16" s="11">
        <v>9999</v>
      </c>
    </row>
    <row r="17" spans="1:10" x14ac:dyDescent="0.3">
      <c r="A17" t="s">
        <v>427</v>
      </c>
      <c r="I17">
        <v>0.4</v>
      </c>
    </row>
    <row r="18" spans="1:10" x14ac:dyDescent="0.3">
      <c r="A18" t="s">
        <v>517</v>
      </c>
      <c r="E18">
        <v>0.25</v>
      </c>
      <c r="F18">
        <v>0.3</v>
      </c>
      <c r="G18">
        <v>0.25</v>
      </c>
      <c r="H18">
        <v>0.25</v>
      </c>
      <c r="I18">
        <v>0.25</v>
      </c>
      <c r="J18">
        <v>0.25</v>
      </c>
    </row>
    <row r="19" spans="1:10" x14ac:dyDescent="0.3">
      <c r="A19" s="13" t="s">
        <v>517</v>
      </c>
      <c r="B19" s="13"/>
      <c r="C19" s="13" t="s">
        <v>800</v>
      </c>
      <c r="D19" s="13"/>
      <c r="E19" s="13">
        <v>0.27</v>
      </c>
      <c r="F19" s="13">
        <v>0.32</v>
      </c>
      <c r="G19" s="13">
        <v>0.27</v>
      </c>
      <c r="H19" s="13">
        <v>0.27</v>
      </c>
      <c r="I19" s="13">
        <v>0.27</v>
      </c>
      <c r="J19" s="13">
        <v>0.27</v>
      </c>
    </row>
    <row r="20" spans="1:10" x14ac:dyDescent="0.3">
      <c r="A20" s="10" t="s">
        <v>517</v>
      </c>
      <c r="B20" s="10"/>
      <c r="C20" s="10" t="s">
        <v>801</v>
      </c>
      <c r="D20" s="10"/>
      <c r="E20" s="10">
        <v>0.28000000000000003</v>
      </c>
      <c r="F20" s="10">
        <v>0.33</v>
      </c>
      <c r="G20" s="10">
        <v>0.28000000000000003</v>
      </c>
      <c r="H20" s="10">
        <v>0.28000000000000003</v>
      </c>
      <c r="I20" s="10">
        <v>0.28000000000000003</v>
      </c>
      <c r="J20" s="10">
        <v>0.28000000000000003</v>
      </c>
    </row>
    <row r="21" spans="1:10" x14ac:dyDescent="0.3">
      <c r="A21" t="s">
        <v>428</v>
      </c>
      <c r="E21">
        <v>0.25</v>
      </c>
      <c r="F21">
        <v>0.3</v>
      </c>
      <c r="G21">
        <v>0.25</v>
      </c>
      <c r="H21">
        <v>0.25</v>
      </c>
      <c r="I21">
        <v>0.25</v>
      </c>
      <c r="J21">
        <v>0.25</v>
      </c>
    </row>
    <row r="22" spans="1:10" x14ac:dyDescent="0.3">
      <c r="A22" s="13" t="s">
        <v>428</v>
      </c>
      <c r="B22" s="13"/>
      <c r="C22" s="13" t="s">
        <v>800</v>
      </c>
      <c r="D22" s="13"/>
      <c r="E22" s="13">
        <v>0.27</v>
      </c>
      <c r="F22" s="13">
        <v>0.32</v>
      </c>
      <c r="G22" s="13">
        <v>0.27</v>
      </c>
      <c r="H22" s="13">
        <v>0.27</v>
      </c>
      <c r="I22" s="13">
        <v>0.27</v>
      </c>
      <c r="J22" s="13">
        <v>0.27</v>
      </c>
    </row>
    <row r="23" spans="1:10" x14ac:dyDescent="0.3">
      <c r="A23" s="10" t="s">
        <v>428</v>
      </c>
      <c r="B23" s="10"/>
      <c r="C23" s="10" t="s">
        <v>801</v>
      </c>
      <c r="D23" s="10"/>
      <c r="E23" s="10">
        <v>9999</v>
      </c>
      <c r="F23" s="10">
        <v>9999</v>
      </c>
      <c r="G23" s="10">
        <v>9999</v>
      </c>
      <c r="H23" s="10">
        <v>9999</v>
      </c>
      <c r="I23" s="10">
        <v>9999</v>
      </c>
      <c r="J23" s="10">
        <v>9999</v>
      </c>
    </row>
    <row r="24" spans="1:10" x14ac:dyDescent="0.3">
      <c r="A24" t="s">
        <v>429</v>
      </c>
      <c r="E24">
        <v>0.25</v>
      </c>
      <c r="F24">
        <v>0.25</v>
      </c>
      <c r="G24">
        <v>0.25</v>
      </c>
      <c r="H24">
        <v>0.25</v>
      </c>
      <c r="I24">
        <v>0.25</v>
      </c>
      <c r="J24">
        <v>0.25</v>
      </c>
    </row>
    <row r="25" spans="1:10" x14ac:dyDescent="0.3">
      <c r="A25" t="s">
        <v>432</v>
      </c>
      <c r="E25">
        <v>0.35</v>
      </c>
      <c r="F25">
        <v>0.37</v>
      </c>
      <c r="G25">
        <v>0.37</v>
      </c>
      <c r="H25">
        <v>0.37</v>
      </c>
      <c r="I25">
        <v>0.37</v>
      </c>
      <c r="J25">
        <v>0.37</v>
      </c>
    </row>
    <row r="26" spans="1:10" x14ac:dyDescent="0.3">
      <c r="A26" s="11" t="s">
        <v>432</v>
      </c>
      <c r="B26" s="11"/>
      <c r="C26" s="11" t="s">
        <v>639</v>
      </c>
      <c r="D26" s="11"/>
      <c r="E26" s="11">
        <v>0.38</v>
      </c>
      <c r="F26" s="11">
        <v>0.4</v>
      </c>
      <c r="G26" s="11">
        <v>0.4</v>
      </c>
      <c r="H26" s="11">
        <v>0.4</v>
      </c>
      <c r="I26" s="11">
        <v>0.4</v>
      </c>
      <c r="J26" s="11">
        <v>0.4</v>
      </c>
    </row>
    <row r="27" spans="1:10" x14ac:dyDescent="0.3">
      <c r="A27" s="12" t="s">
        <v>432</v>
      </c>
      <c r="B27" s="12"/>
      <c r="C27" s="12" t="s">
        <v>640</v>
      </c>
      <c r="D27" s="12"/>
      <c r="E27" s="12">
        <v>9999</v>
      </c>
      <c r="F27" s="12">
        <v>9999</v>
      </c>
      <c r="G27" s="12">
        <v>9999</v>
      </c>
      <c r="H27" s="12">
        <v>9999</v>
      </c>
      <c r="I27" s="12">
        <v>9999</v>
      </c>
      <c r="J27" s="12">
        <v>9999</v>
      </c>
    </row>
    <row r="28" spans="1:10" x14ac:dyDescent="0.3">
      <c r="A28" t="s">
        <v>520</v>
      </c>
      <c r="E28">
        <v>0.25</v>
      </c>
      <c r="F28">
        <v>0.25</v>
      </c>
      <c r="G28">
        <v>0.25</v>
      </c>
      <c r="H28">
        <v>0.25</v>
      </c>
      <c r="I28">
        <v>0.25</v>
      </c>
      <c r="J28">
        <v>0.25</v>
      </c>
    </row>
    <row r="29" spans="1:10" x14ac:dyDescent="0.3">
      <c r="A29" s="11" t="s">
        <v>433</v>
      </c>
      <c r="B29" s="11"/>
      <c r="C29" s="11" t="s">
        <v>639</v>
      </c>
      <c r="D29" s="11"/>
      <c r="E29" s="11">
        <v>9999</v>
      </c>
      <c r="F29" s="11">
        <v>9999</v>
      </c>
      <c r="G29" s="11">
        <v>9999</v>
      </c>
      <c r="H29" s="11">
        <v>9999</v>
      </c>
      <c r="I29" s="11">
        <v>9999</v>
      </c>
      <c r="J29" s="11">
        <v>9999</v>
      </c>
    </row>
    <row r="30" spans="1:10" x14ac:dyDescent="0.3">
      <c r="A30" s="12" t="s">
        <v>433</v>
      </c>
      <c r="B30" s="12"/>
      <c r="C30" s="12" t="s">
        <v>640</v>
      </c>
      <c r="D30" s="12"/>
      <c r="E30" s="12">
        <v>9999</v>
      </c>
      <c r="F30" s="12">
        <v>9999</v>
      </c>
      <c r="G30" s="12">
        <v>9999</v>
      </c>
      <c r="H30" s="12">
        <v>9999</v>
      </c>
      <c r="I30" s="12">
        <v>9999</v>
      </c>
      <c r="J30" s="12">
        <v>9999</v>
      </c>
    </row>
    <row r="31" spans="1:10" x14ac:dyDescent="0.3">
      <c r="A31" t="s">
        <v>435</v>
      </c>
      <c r="E31">
        <v>0.28000000000000003</v>
      </c>
      <c r="F31">
        <v>0.33</v>
      </c>
      <c r="G31">
        <v>0.31</v>
      </c>
      <c r="H31">
        <v>0.31</v>
      </c>
      <c r="I31">
        <v>0.31</v>
      </c>
      <c r="J31">
        <v>0.31</v>
      </c>
    </row>
    <row r="32" spans="1:10" x14ac:dyDescent="0.3">
      <c r="A32" s="11" t="s">
        <v>435</v>
      </c>
      <c r="B32" s="11"/>
      <c r="C32" s="11" t="s">
        <v>639</v>
      </c>
      <c r="D32" s="11"/>
      <c r="E32" s="11">
        <v>0.3</v>
      </c>
      <c r="F32" s="11">
        <v>0.35</v>
      </c>
      <c r="G32" s="11">
        <v>0.33</v>
      </c>
      <c r="H32" s="11">
        <v>0.33</v>
      </c>
      <c r="I32" s="11">
        <v>0.33</v>
      </c>
      <c r="J32" s="11">
        <v>0.33</v>
      </c>
    </row>
    <row r="33" spans="1:10" x14ac:dyDescent="0.3">
      <c r="A33" s="12" t="s">
        <v>435</v>
      </c>
      <c r="B33" s="12"/>
      <c r="C33" s="12" t="s">
        <v>640</v>
      </c>
      <c r="D33" s="12"/>
      <c r="E33" s="12">
        <v>0.3</v>
      </c>
      <c r="F33" s="12">
        <v>0.35</v>
      </c>
      <c r="G33" s="12">
        <v>0.33</v>
      </c>
      <c r="H33" s="12">
        <v>0.33</v>
      </c>
      <c r="I33" s="12">
        <v>0.33</v>
      </c>
      <c r="J33" s="12">
        <v>0.33</v>
      </c>
    </row>
    <row r="34" spans="1:10" x14ac:dyDescent="0.3">
      <c r="A34" s="10" t="s">
        <v>435</v>
      </c>
      <c r="B34" s="10"/>
      <c r="C34" s="10" t="s">
        <v>801</v>
      </c>
      <c r="D34" s="10"/>
      <c r="E34" s="10">
        <v>9999</v>
      </c>
      <c r="F34" s="10">
        <v>9999</v>
      </c>
      <c r="G34" s="10">
        <v>9999</v>
      </c>
      <c r="H34" s="10">
        <v>9999</v>
      </c>
      <c r="I34" s="10">
        <v>9999</v>
      </c>
      <c r="J34" s="10">
        <v>9999</v>
      </c>
    </row>
    <row r="35" spans="1:10" x14ac:dyDescent="0.3">
      <c r="A35" t="s">
        <v>436</v>
      </c>
      <c r="E35">
        <v>0.28000000000000003</v>
      </c>
      <c r="F35">
        <v>0.33</v>
      </c>
      <c r="G35">
        <v>0.31</v>
      </c>
      <c r="H35">
        <v>0.31</v>
      </c>
      <c r="I35">
        <v>0.31</v>
      </c>
      <c r="J35">
        <v>0.31</v>
      </c>
    </row>
    <row r="36" spans="1:10" x14ac:dyDescent="0.3">
      <c r="A36" s="11" t="s">
        <v>436</v>
      </c>
      <c r="B36" s="11"/>
      <c r="C36" s="11" t="s">
        <v>639</v>
      </c>
      <c r="D36" s="11"/>
      <c r="E36" s="11">
        <v>0.3</v>
      </c>
      <c r="F36" s="11">
        <v>0.35</v>
      </c>
      <c r="G36" s="11">
        <v>0.33</v>
      </c>
      <c r="H36" s="11">
        <v>0.33</v>
      </c>
      <c r="I36" s="11">
        <v>0.33</v>
      </c>
      <c r="J36" s="11">
        <v>0.33</v>
      </c>
    </row>
    <row r="37" spans="1:10" x14ac:dyDescent="0.3">
      <c r="A37" s="12" t="s">
        <v>436</v>
      </c>
      <c r="B37" s="12"/>
      <c r="C37" s="12" t="s">
        <v>640</v>
      </c>
      <c r="D37" s="12"/>
      <c r="E37" s="12">
        <v>0.3</v>
      </c>
      <c r="F37" s="12">
        <v>0.35</v>
      </c>
      <c r="G37" s="12">
        <v>0.33</v>
      </c>
      <c r="H37" s="12">
        <v>0.33</v>
      </c>
      <c r="I37" s="12">
        <v>0.33</v>
      </c>
      <c r="J37" s="12">
        <v>0.33</v>
      </c>
    </row>
    <row r="38" spans="1:10" x14ac:dyDescent="0.3">
      <c r="A38" s="10" t="s">
        <v>436</v>
      </c>
      <c r="B38" s="10"/>
      <c r="C38" s="10" t="s">
        <v>801</v>
      </c>
      <c r="D38" s="10"/>
      <c r="E38" s="10">
        <v>9999</v>
      </c>
      <c r="F38" s="10">
        <v>9999</v>
      </c>
      <c r="G38" s="10">
        <v>9999</v>
      </c>
      <c r="H38" s="10">
        <v>9999</v>
      </c>
      <c r="I38" s="10">
        <v>9999</v>
      </c>
      <c r="J38" s="10">
        <v>9999</v>
      </c>
    </row>
    <row r="39" spans="1:10" x14ac:dyDescent="0.3">
      <c r="A39" t="s">
        <v>438</v>
      </c>
      <c r="E39">
        <v>0.38</v>
      </c>
      <c r="F39">
        <v>0.43</v>
      </c>
      <c r="G39">
        <v>0.4</v>
      </c>
      <c r="H39">
        <v>0.4</v>
      </c>
      <c r="I39">
        <v>0.4</v>
      </c>
      <c r="J39">
        <v>0.4</v>
      </c>
    </row>
    <row r="40" spans="1:10" x14ac:dyDescent="0.3">
      <c r="A40" t="s">
        <v>439</v>
      </c>
      <c r="E40">
        <v>0.38</v>
      </c>
      <c r="F40">
        <v>0.43</v>
      </c>
      <c r="G40">
        <v>0.4</v>
      </c>
      <c r="H40">
        <v>0.4</v>
      </c>
      <c r="I40">
        <v>0.4</v>
      </c>
      <c r="J40">
        <v>0.4</v>
      </c>
    </row>
    <row r="41" spans="1:10" x14ac:dyDescent="0.3">
      <c r="A41" t="s">
        <v>441</v>
      </c>
      <c r="E41">
        <v>0.4</v>
      </c>
      <c r="F41">
        <v>0.5</v>
      </c>
      <c r="G41">
        <v>0.45</v>
      </c>
      <c r="H41">
        <v>0.45</v>
      </c>
      <c r="I41">
        <v>0.45</v>
      </c>
      <c r="J41">
        <v>0.45</v>
      </c>
    </row>
    <row r="42" spans="1:10" x14ac:dyDescent="0.3">
      <c r="A42" s="11" t="s">
        <v>441</v>
      </c>
      <c r="B42" s="11"/>
      <c r="C42" s="11" t="s">
        <v>639</v>
      </c>
      <c r="D42" s="11"/>
      <c r="E42" s="11">
        <v>0.45</v>
      </c>
      <c r="F42" s="11">
        <v>0.55000000000000004</v>
      </c>
      <c r="G42" s="11">
        <v>0.5</v>
      </c>
      <c r="H42" s="11">
        <v>0.5</v>
      </c>
      <c r="I42" s="11">
        <v>0.5</v>
      </c>
      <c r="J42" s="11">
        <v>0.5</v>
      </c>
    </row>
    <row r="43" spans="1:10" x14ac:dyDescent="0.3">
      <c r="A43" s="12" t="s">
        <v>441</v>
      </c>
      <c r="B43" s="12"/>
      <c r="C43" s="12" t="s">
        <v>640</v>
      </c>
      <c r="D43" s="12"/>
      <c r="E43" s="12">
        <v>9999</v>
      </c>
      <c r="F43" s="12">
        <v>9999</v>
      </c>
      <c r="G43" s="12">
        <v>9999</v>
      </c>
      <c r="H43" s="12">
        <v>9999</v>
      </c>
      <c r="I43" s="12">
        <v>9999</v>
      </c>
      <c r="J43" s="12">
        <v>9999</v>
      </c>
    </row>
    <row r="44" spans="1:10" x14ac:dyDescent="0.3">
      <c r="A44" s="10" t="s">
        <v>441</v>
      </c>
      <c r="B44" s="10"/>
      <c r="C44" s="10" t="s">
        <v>801</v>
      </c>
      <c r="D44" s="10"/>
      <c r="E44" s="10">
        <v>9999</v>
      </c>
      <c r="F44" s="10">
        <v>9999</v>
      </c>
      <c r="G44" s="10">
        <v>9999</v>
      </c>
      <c r="H44" s="10">
        <v>9999</v>
      </c>
      <c r="I44" s="10">
        <v>9999</v>
      </c>
      <c r="J44" s="10">
        <v>9999</v>
      </c>
    </row>
    <row r="45" spans="1:10" x14ac:dyDescent="0.3">
      <c r="A45" t="s">
        <v>442</v>
      </c>
      <c r="E45">
        <v>0.25</v>
      </c>
      <c r="F45">
        <v>0.3</v>
      </c>
      <c r="G45">
        <v>0.25</v>
      </c>
      <c r="H45">
        <v>0.25</v>
      </c>
      <c r="I45">
        <v>0.25</v>
      </c>
      <c r="J45">
        <v>0.25</v>
      </c>
    </row>
    <row r="46" spans="1:10" x14ac:dyDescent="0.3">
      <c r="A46" s="13" t="s">
        <v>442</v>
      </c>
      <c r="B46" s="13"/>
      <c r="C46" s="13" t="s">
        <v>800</v>
      </c>
      <c r="D46" s="13"/>
      <c r="E46" s="13">
        <v>0.27</v>
      </c>
      <c r="F46" s="13">
        <v>0.32</v>
      </c>
      <c r="G46" s="13">
        <v>0.27</v>
      </c>
      <c r="H46" s="13">
        <v>0.27</v>
      </c>
      <c r="I46" s="13">
        <v>0.27</v>
      </c>
      <c r="J46" s="13">
        <v>0.27</v>
      </c>
    </row>
    <row r="47" spans="1:10" x14ac:dyDescent="0.3">
      <c r="A47" s="10" t="s">
        <v>442</v>
      </c>
      <c r="B47" s="10"/>
      <c r="C47" s="10" t="s">
        <v>801</v>
      </c>
      <c r="D47" s="10"/>
      <c r="E47" s="10">
        <v>0.28000000000000003</v>
      </c>
      <c r="F47" s="10">
        <v>0.33</v>
      </c>
      <c r="G47" s="10">
        <v>0.28000000000000003</v>
      </c>
      <c r="H47" s="10">
        <v>0.28000000000000003</v>
      </c>
      <c r="I47" s="10">
        <v>0.28000000000000003</v>
      </c>
      <c r="J47" s="10">
        <v>0.28000000000000003</v>
      </c>
    </row>
    <row r="48" spans="1:10" x14ac:dyDescent="0.3">
      <c r="A48" t="s">
        <v>802</v>
      </c>
      <c r="E48">
        <v>0.25</v>
      </c>
      <c r="F48">
        <v>0.25</v>
      </c>
      <c r="G48">
        <v>0.25</v>
      </c>
      <c r="H48">
        <v>0.25</v>
      </c>
      <c r="I48">
        <v>0.25</v>
      </c>
      <c r="J48">
        <v>0.25</v>
      </c>
    </row>
    <row r="49" spans="1:10" x14ac:dyDescent="0.3">
      <c r="A49" t="s">
        <v>445</v>
      </c>
      <c r="E49">
        <v>1</v>
      </c>
      <c r="F49">
        <v>1.25</v>
      </c>
      <c r="G49">
        <v>1.1499999999999999</v>
      </c>
      <c r="H49">
        <v>1.1499999999999999</v>
      </c>
      <c r="I49">
        <v>1.1499999999999999</v>
      </c>
      <c r="J49">
        <v>1.1499999999999999</v>
      </c>
    </row>
    <row r="50" spans="1:10" x14ac:dyDescent="0.3">
      <c r="A50" t="s">
        <v>446</v>
      </c>
      <c r="E50">
        <v>0.4</v>
      </c>
      <c r="F50">
        <v>0.5</v>
      </c>
      <c r="G50">
        <v>0.45</v>
      </c>
      <c r="H50">
        <v>0.45</v>
      </c>
      <c r="I50">
        <v>0.45</v>
      </c>
      <c r="J50">
        <v>0.45</v>
      </c>
    </row>
    <row r="51" spans="1:10" x14ac:dyDescent="0.3">
      <c r="A51" s="11" t="s">
        <v>446</v>
      </c>
      <c r="B51" s="11"/>
      <c r="C51" s="11" t="s">
        <v>639</v>
      </c>
      <c r="D51" s="11"/>
      <c r="E51" s="11">
        <v>9999</v>
      </c>
      <c r="F51" s="11">
        <v>9999</v>
      </c>
      <c r="G51" s="11">
        <v>9999</v>
      </c>
      <c r="H51" s="11">
        <v>9999</v>
      </c>
      <c r="I51" s="11">
        <v>9999</v>
      </c>
      <c r="J51" s="11">
        <v>9999</v>
      </c>
    </row>
    <row r="52" spans="1:10" x14ac:dyDescent="0.3">
      <c r="A52" t="s">
        <v>803</v>
      </c>
      <c r="E52">
        <v>0.4</v>
      </c>
      <c r="F52">
        <v>0.5</v>
      </c>
      <c r="G52">
        <v>0.45</v>
      </c>
      <c r="H52">
        <v>0.45</v>
      </c>
      <c r="I52">
        <v>0.45</v>
      </c>
      <c r="J52">
        <v>0.45</v>
      </c>
    </row>
    <row r="53" spans="1:10" x14ac:dyDescent="0.3">
      <c r="A53" t="s">
        <v>539</v>
      </c>
      <c r="E53">
        <v>0.4</v>
      </c>
      <c r="F53">
        <v>0.5</v>
      </c>
      <c r="G53">
        <v>0.45</v>
      </c>
      <c r="H53">
        <v>0.45</v>
      </c>
      <c r="I53">
        <v>0.45</v>
      </c>
      <c r="J53">
        <v>0.45</v>
      </c>
    </row>
    <row r="54" spans="1:10" x14ac:dyDescent="0.3">
      <c r="A54" t="s">
        <v>447</v>
      </c>
      <c r="E54">
        <v>0.4</v>
      </c>
      <c r="F54">
        <v>0.45</v>
      </c>
      <c r="G54">
        <v>0.45</v>
      </c>
      <c r="H54">
        <v>0.45</v>
      </c>
      <c r="I54">
        <v>0.45</v>
      </c>
      <c r="J54">
        <v>0.45</v>
      </c>
    </row>
    <row r="55" spans="1:10" x14ac:dyDescent="0.3">
      <c r="A55" s="10" t="s">
        <v>447</v>
      </c>
      <c r="B55" s="10"/>
      <c r="C55" s="10" t="s">
        <v>801</v>
      </c>
      <c r="D55" s="10"/>
      <c r="E55" s="10">
        <v>9999</v>
      </c>
      <c r="F55" s="10">
        <v>9999</v>
      </c>
      <c r="G55" s="10">
        <v>9999</v>
      </c>
      <c r="H55" s="10">
        <v>9999</v>
      </c>
      <c r="I55" s="10">
        <v>9999</v>
      </c>
      <c r="J55" s="10">
        <v>9999</v>
      </c>
    </row>
    <row r="56" spans="1:10" x14ac:dyDescent="0.3">
      <c r="A56" s="11" t="s">
        <v>447</v>
      </c>
      <c r="B56" s="11"/>
      <c r="C56" s="11" t="s">
        <v>639</v>
      </c>
      <c r="D56" s="11"/>
      <c r="E56" s="11">
        <v>9999</v>
      </c>
      <c r="F56" s="11">
        <v>9999</v>
      </c>
      <c r="G56" s="11">
        <v>9999</v>
      </c>
      <c r="H56" s="11">
        <v>9999</v>
      </c>
      <c r="I56" s="11">
        <v>9999</v>
      </c>
      <c r="J56" s="11">
        <v>9999</v>
      </c>
    </row>
    <row r="57" spans="1:10" x14ac:dyDescent="0.3">
      <c r="A57" s="12" t="s">
        <v>447</v>
      </c>
      <c r="B57" s="12"/>
      <c r="C57" s="12" t="s">
        <v>640</v>
      </c>
      <c r="D57" s="12"/>
      <c r="E57" s="12">
        <v>9999</v>
      </c>
      <c r="F57" s="12">
        <v>9999</v>
      </c>
      <c r="G57" s="12">
        <v>9999</v>
      </c>
      <c r="H57" s="12">
        <v>9999</v>
      </c>
      <c r="I57" s="12">
        <v>9999</v>
      </c>
      <c r="J57" s="12">
        <v>9999</v>
      </c>
    </row>
    <row r="58" spans="1:10" x14ac:dyDescent="0.3">
      <c r="A58" t="s">
        <v>448</v>
      </c>
      <c r="E58">
        <v>1.25</v>
      </c>
      <c r="F58">
        <v>1.5</v>
      </c>
      <c r="G58">
        <v>1.35</v>
      </c>
      <c r="H58">
        <v>1.35</v>
      </c>
      <c r="I58">
        <v>1.35</v>
      </c>
      <c r="J58">
        <v>1.35</v>
      </c>
    </row>
    <row r="59" spans="1:10" x14ac:dyDescent="0.3">
      <c r="A59" t="s">
        <v>450</v>
      </c>
      <c r="E59">
        <v>0.4</v>
      </c>
      <c r="F59">
        <v>0.5</v>
      </c>
      <c r="G59">
        <v>0.45</v>
      </c>
      <c r="H59">
        <v>0.45</v>
      </c>
      <c r="I59">
        <v>0.45</v>
      </c>
      <c r="J59">
        <v>0.45</v>
      </c>
    </row>
    <row r="60" spans="1:10" x14ac:dyDescent="0.3">
      <c r="A60" s="12" t="s">
        <v>450</v>
      </c>
      <c r="B60" s="12"/>
      <c r="C60" s="12" t="s">
        <v>640</v>
      </c>
      <c r="D60" s="12"/>
      <c r="E60" s="12">
        <v>9999</v>
      </c>
      <c r="F60" s="12">
        <v>9999</v>
      </c>
      <c r="G60" s="12">
        <v>9999</v>
      </c>
      <c r="H60" s="12">
        <v>9999</v>
      </c>
      <c r="I60" s="12">
        <v>9999</v>
      </c>
      <c r="J60" s="12">
        <v>9999</v>
      </c>
    </row>
    <row r="61" spans="1:10" x14ac:dyDescent="0.3">
      <c r="A61" t="s">
        <v>451</v>
      </c>
      <c r="E61">
        <v>0.25</v>
      </c>
      <c r="F61">
        <v>0.3</v>
      </c>
      <c r="G61">
        <v>0.25</v>
      </c>
      <c r="H61">
        <v>0.25</v>
      </c>
      <c r="I61">
        <v>0.25</v>
      </c>
      <c r="J61">
        <v>0.25</v>
      </c>
    </row>
    <row r="62" spans="1:10" x14ac:dyDescent="0.3">
      <c r="A62" s="13" t="s">
        <v>451</v>
      </c>
      <c r="B62" s="13"/>
      <c r="C62" s="13" t="s">
        <v>800</v>
      </c>
      <c r="D62" s="13"/>
      <c r="E62" s="13">
        <v>0.27</v>
      </c>
      <c r="F62" s="13">
        <v>0.32</v>
      </c>
      <c r="G62" s="13">
        <v>0.27</v>
      </c>
      <c r="H62" s="13">
        <v>0.27</v>
      </c>
      <c r="I62" s="13">
        <v>0.27</v>
      </c>
      <c r="J62" s="13">
        <v>0.27</v>
      </c>
    </row>
    <row r="63" spans="1:10" x14ac:dyDescent="0.3">
      <c r="A63" s="10" t="s">
        <v>451</v>
      </c>
      <c r="B63" s="10"/>
      <c r="C63" s="10" t="s">
        <v>801</v>
      </c>
      <c r="D63" s="10"/>
      <c r="E63" s="10">
        <v>0.28000000000000003</v>
      </c>
      <c r="F63" s="10">
        <v>0.33</v>
      </c>
      <c r="G63" s="10">
        <v>0.28000000000000003</v>
      </c>
      <c r="H63" s="10">
        <v>0.28000000000000003</v>
      </c>
      <c r="I63" s="10">
        <v>0.28000000000000003</v>
      </c>
      <c r="J63" s="10">
        <v>0.28000000000000003</v>
      </c>
    </row>
    <row r="64" spans="1:10" x14ac:dyDescent="0.3">
      <c r="A64" t="s">
        <v>453</v>
      </c>
      <c r="E64">
        <v>0.35</v>
      </c>
      <c r="F64">
        <v>0.45</v>
      </c>
      <c r="G64">
        <v>0.4</v>
      </c>
      <c r="H64">
        <v>0.4</v>
      </c>
      <c r="I64">
        <v>0.4</v>
      </c>
      <c r="J64">
        <v>0.4</v>
      </c>
    </row>
    <row r="65" spans="1:10" x14ac:dyDescent="0.3">
      <c r="A65" t="s">
        <v>556</v>
      </c>
      <c r="E65">
        <v>0.25</v>
      </c>
      <c r="F65">
        <v>0.25</v>
      </c>
      <c r="G65">
        <v>0.25</v>
      </c>
      <c r="H65">
        <v>0.25</v>
      </c>
      <c r="I65">
        <v>0.25</v>
      </c>
      <c r="J65">
        <v>0.25</v>
      </c>
    </row>
    <row r="66" spans="1:10" x14ac:dyDescent="0.3">
      <c r="A66" t="s">
        <v>458</v>
      </c>
      <c r="E66">
        <v>0.4</v>
      </c>
      <c r="F66">
        <v>0.5</v>
      </c>
      <c r="G66">
        <v>0.45</v>
      </c>
      <c r="H66">
        <v>0.45</v>
      </c>
      <c r="I66">
        <v>0.45</v>
      </c>
      <c r="J66">
        <v>0.45</v>
      </c>
    </row>
    <row r="67" spans="1:10" x14ac:dyDescent="0.3">
      <c r="A67" s="10" t="s">
        <v>458</v>
      </c>
      <c r="B67" s="10"/>
      <c r="C67" s="10" t="s">
        <v>801</v>
      </c>
      <c r="D67" s="10"/>
      <c r="E67" s="10">
        <v>9999</v>
      </c>
      <c r="F67" s="10">
        <v>9999</v>
      </c>
      <c r="G67" s="10">
        <v>9999</v>
      </c>
      <c r="H67" s="10">
        <v>9999</v>
      </c>
      <c r="I67" s="10">
        <v>9999</v>
      </c>
      <c r="J67" s="10">
        <v>9999</v>
      </c>
    </row>
    <row r="68" spans="1:10" x14ac:dyDescent="0.3">
      <c r="A68" s="11" t="s">
        <v>458</v>
      </c>
      <c r="B68" s="11"/>
      <c r="C68" s="11" t="s">
        <v>639</v>
      </c>
      <c r="D68" s="11"/>
      <c r="E68" s="11">
        <v>9999</v>
      </c>
      <c r="F68" s="11">
        <v>9999</v>
      </c>
      <c r="G68" s="11">
        <v>9999</v>
      </c>
      <c r="H68" s="11">
        <v>9999</v>
      </c>
      <c r="I68" s="11">
        <v>9999</v>
      </c>
      <c r="J68" s="11">
        <v>9999</v>
      </c>
    </row>
    <row r="69" spans="1:10" x14ac:dyDescent="0.3">
      <c r="A69" s="12" t="s">
        <v>458</v>
      </c>
      <c r="B69" s="12"/>
      <c r="C69" s="12" t="s">
        <v>640</v>
      </c>
      <c r="D69" s="12"/>
      <c r="E69" s="12">
        <v>9999</v>
      </c>
      <c r="F69" s="12">
        <v>9999</v>
      </c>
      <c r="G69" s="12">
        <v>9999</v>
      </c>
      <c r="H69" s="12">
        <v>9999</v>
      </c>
      <c r="I69" s="12">
        <v>9999</v>
      </c>
      <c r="J69" s="12">
        <v>9999</v>
      </c>
    </row>
    <row r="70" spans="1:10" x14ac:dyDescent="0.3">
      <c r="A70" t="s">
        <v>461</v>
      </c>
      <c r="E70">
        <v>0.38</v>
      </c>
      <c r="F70">
        <v>0.45</v>
      </c>
      <c r="G70">
        <v>0.4</v>
      </c>
      <c r="H70">
        <v>0.4</v>
      </c>
      <c r="I70">
        <v>0.4</v>
      </c>
      <c r="J70">
        <v>0.4</v>
      </c>
    </row>
    <row r="71" spans="1:10" x14ac:dyDescent="0.3">
      <c r="A71" t="s">
        <v>569</v>
      </c>
      <c r="E71">
        <v>0.28000000000000003</v>
      </c>
      <c r="F71">
        <v>0.33</v>
      </c>
      <c r="G71">
        <v>0.31</v>
      </c>
      <c r="H71">
        <v>0.31</v>
      </c>
      <c r="I71">
        <v>0.31</v>
      </c>
      <c r="J71">
        <v>0.31</v>
      </c>
    </row>
    <row r="72" spans="1:10" x14ac:dyDescent="0.3">
      <c r="A72" s="12" t="s">
        <v>569</v>
      </c>
      <c r="B72" s="12"/>
      <c r="C72" s="12" t="s">
        <v>640</v>
      </c>
      <c r="D72" s="12"/>
      <c r="E72" s="12">
        <v>9999</v>
      </c>
      <c r="F72" s="12">
        <v>9999</v>
      </c>
      <c r="G72" s="12">
        <v>9999</v>
      </c>
      <c r="H72" s="12">
        <v>9999</v>
      </c>
      <c r="I72" s="12">
        <v>9999</v>
      </c>
      <c r="J72" s="12">
        <v>9999</v>
      </c>
    </row>
    <row r="73" spans="1:10" x14ac:dyDescent="0.3">
      <c r="A73" t="s">
        <v>779</v>
      </c>
      <c r="E73">
        <v>0.28000000000000003</v>
      </c>
      <c r="F73">
        <v>0.33</v>
      </c>
      <c r="G73">
        <v>0.31</v>
      </c>
      <c r="H73">
        <v>0.31</v>
      </c>
      <c r="I73">
        <v>0.31</v>
      </c>
      <c r="J73">
        <v>0.31</v>
      </c>
    </row>
    <row r="74" spans="1:10" x14ac:dyDescent="0.3">
      <c r="A74" s="11" t="s">
        <v>779</v>
      </c>
      <c r="B74" s="11"/>
      <c r="C74" s="11" t="s">
        <v>639</v>
      </c>
      <c r="D74" s="11"/>
      <c r="E74" s="11">
        <v>0.3</v>
      </c>
      <c r="F74" s="11">
        <v>0.35</v>
      </c>
      <c r="G74" s="11">
        <v>0.33</v>
      </c>
      <c r="H74" s="11">
        <v>0.33</v>
      </c>
      <c r="I74" s="11">
        <v>0.33</v>
      </c>
      <c r="J74" s="11">
        <v>0.33</v>
      </c>
    </row>
    <row r="75" spans="1:10" x14ac:dyDescent="0.3">
      <c r="A75" t="s">
        <v>780</v>
      </c>
      <c r="E75">
        <v>0.85</v>
      </c>
      <c r="F75">
        <v>1.05</v>
      </c>
      <c r="G75">
        <v>0.95</v>
      </c>
      <c r="H75">
        <v>0.95</v>
      </c>
      <c r="I75">
        <v>0.95</v>
      </c>
      <c r="J75">
        <v>0.95</v>
      </c>
    </row>
    <row r="76" spans="1:10" x14ac:dyDescent="0.3">
      <c r="A76" t="s">
        <v>804</v>
      </c>
      <c r="E76">
        <v>9999</v>
      </c>
      <c r="F76">
        <v>9999</v>
      </c>
      <c r="G76">
        <v>9999</v>
      </c>
      <c r="H76">
        <v>9999</v>
      </c>
      <c r="I76">
        <v>9999</v>
      </c>
      <c r="J76">
        <v>9999</v>
      </c>
    </row>
    <row r="77" spans="1:10" x14ac:dyDescent="0.3">
      <c r="A77" s="11" t="s">
        <v>804</v>
      </c>
      <c r="B77" s="11"/>
      <c r="C77" s="11" t="s">
        <v>639</v>
      </c>
      <c r="D77" s="11"/>
      <c r="E77" s="11">
        <v>9999</v>
      </c>
      <c r="F77" s="11">
        <v>9999</v>
      </c>
      <c r="G77" s="11">
        <v>9999</v>
      </c>
      <c r="H77" s="11">
        <v>9999</v>
      </c>
      <c r="I77" s="11">
        <v>9999</v>
      </c>
      <c r="J77" s="11">
        <v>9999</v>
      </c>
    </row>
    <row r="78" spans="1:10" x14ac:dyDescent="0.3">
      <c r="A78" t="s">
        <v>497</v>
      </c>
      <c r="E78">
        <v>0.3</v>
      </c>
      <c r="F78">
        <v>0.35</v>
      </c>
      <c r="G78">
        <v>0.32</v>
      </c>
      <c r="H78">
        <v>0.32</v>
      </c>
      <c r="I78">
        <v>0.32</v>
      </c>
      <c r="J78">
        <v>0.32</v>
      </c>
    </row>
    <row r="79" spans="1:10" x14ac:dyDescent="0.3">
      <c r="A79" s="11" t="s">
        <v>497</v>
      </c>
      <c r="B79" s="11"/>
      <c r="C79" s="11" t="s">
        <v>639</v>
      </c>
      <c r="D79" s="11"/>
      <c r="E79" s="11">
        <v>9999</v>
      </c>
      <c r="F79" s="11">
        <v>9999</v>
      </c>
      <c r="G79" s="11">
        <v>9999</v>
      </c>
      <c r="H79" s="11">
        <v>9999</v>
      </c>
      <c r="I79" s="11">
        <v>9999</v>
      </c>
      <c r="J79" s="11">
        <v>9999</v>
      </c>
    </row>
    <row r="80" spans="1:10" x14ac:dyDescent="0.3">
      <c r="A80" t="s">
        <v>465</v>
      </c>
      <c r="E80">
        <v>0.35</v>
      </c>
      <c r="F80">
        <v>0.37</v>
      </c>
      <c r="G80">
        <v>0.37</v>
      </c>
      <c r="H80">
        <v>0.37</v>
      </c>
      <c r="I80">
        <v>0.37</v>
      </c>
      <c r="J80">
        <v>0.37</v>
      </c>
    </row>
    <row r="81" spans="1:10" x14ac:dyDescent="0.3">
      <c r="A81" t="s">
        <v>466</v>
      </c>
      <c r="E81">
        <v>0.35</v>
      </c>
      <c r="F81">
        <v>0.37</v>
      </c>
      <c r="G81">
        <v>0.37</v>
      </c>
      <c r="H81">
        <v>0.37</v>
      </c>
      <c r="I81">
        <v>0.37</v>
      </c>
      <c r="J81">
        <v>0.37</v>
      </c>
    </row>
    <row r="82" spans="1:10" x14ac:dyDescent="0.3">
      <c r="A82" s="11" t="s">
        <v>466</v>
      </c>
      <c r="B82" s="11"/>
      <c r="C82" s="11" t="s">
        <v>639</v>
      </c>
      <c r="D82" s="11"/>
      <c r="E82" s="11">
        <v>0.38</v>
      </c>
      <c r="F82" s="11">
        <v>0.4</v>
      </c>
      <c r="G82" s="11">
        <v>0.4</v>
      </c>
      <c r="H82" s="11">
        <v>0.4</v>
      </c>
      <c r="I82" s="11">
        <v>0.4</v>
      </c>
      <c r="J82" s="11">
        <v>0.4</v>
      </c>
    </row>
    <row r="83" spans="1:10" ht="15.75" customHeight="1" x14ac:dyDescent="0.3">
      <c r="A83" t="s">
        <v>467</v>
      </c>
      <c r="E83">
        <v>0.28000000000000003</v>
      </c>
      <c r="F83">
        <v>0.33</v>
      </c>
      <c r="G83">
        <v>0.31</v>
      </c>
      <c r="H83">
        <v>0.31</v>
      </c>
      <c r="I83">
        <v>0.31</v>
      </c>
      <c r="J83">
        <v>0.31</v>
      </c>
    </row>
    <row r="84" spans="1:10" x14ac:dyDescent="0.3">
      <c r="A84" s="11" t="s">
        <v>467</v>
      </c>
      <c r="B84" s="11"/>
      <c r="C84" s="11" t="s">
        <v>639</v>
      </c>
      <c r="D84" s="11"/>
      <c r="E84" s="11">
        <v>0.3</v>
      </c>
      <c r="F84" s="11">
        <v>0.35</v>
      </c>
      <c r="G84" s="11">
        <v>0.33</v>
      </c>
      <c r="H84" s="11">
        <v>0.33</v>
      </c>
      <c r="I84" s="11">
        <v>0.33</v>
      </c>
      <c r="J84" s="11">
        <v>0.33</v>
      </c>
    </row>
    <row r="85" spans="1:10" x14ac:dyDescent="0.3">
      <c r="A85" s="12" t="s">
        <v>467</v>
      </c>
      <c r="B85" s="12"/>
      <c r="C85" s="12" t="s">
        <v>640</v>
      </c>
      <c r="D85" s="12"/>
      <c r="E85" s="12">
        <v>9999</v>
      </c>
      <c r="F85" s="12">
        <v>9999</v>
      </c>
      <c r="G85" s="12">
        <v>9999</v>
      </c>
      <c r="H85" s="12">
        <v>9999</v>
      </c>
      <c r="I85" s="12">
        <v>9999</v>
      </c>
      <c r="J85" s="12">
        <v>9999</v>
      </c>
    </row>
    <row r="86" spans="1:10" x14ac:dyDescent="0.3">
      <c r="A86" s="10" t="s">
        <v>467</v>
      </c>
      <c r="B86" s="10"/>
      <c r="C86" s="10" t="s">
        <v>801</v>
      </c>
      <c r="D86" s="10"/>
      <c r="E86" s="10">
        <v>999</v>
      </c>
      <c r="F86" s="10">
        <v>999</v>
      </c>
      <c r="G86" s="10">
        <v>999</v>
      </c>
      <c r="H86" s="10">
        <v>999</v>
      </c>
      <c r="I86" s="10">
        <v>999</v>
      </c>
      <c r="J86" s="10">
        <v>999</v>
      </c>
    </row>
    <row r="87" spans="1:10" x14ac:dyDescent="0.3">
      <c r="A87" t="s">
        <v>565</v>
      </c>
      <c r="E87">
        <v>1.25</v>
      </c>
      <c r="F87">
        <v>1.35</v>
      </c>
      <c r="G87">
        <v>1.3</v>
      </c>
      <c r="H87">
        <v>1.3</v>
      </c>
      <c r="I87">
        <v>1.3</v>
      </c>
      <c r="J87">
        <v>1.3</v>
      </c>
    </row>
    <row r="88" spans="1:10" x14ac:dyDescent="0.3">
      <c r="A88" t="s">
        <v>469</v>
      </c>
      <c r="E88">
        <v>0.25</v>
      </c>
      <c r="F88">
        <v>0.3</v>
      </c>
      <c r="G88">
        <v>0.25</v>
      </c>
      <c r="H88">
        <v>0.25</v>
      </c>
      <c r="I88">
        <v>0.25</v>
      </c>
      <c r="J88">
        <v>0.25</v>
      </c>
    </row>
    <row r="89" spans="1:10" x14ac:dyDescent="0.3">
      <c r="A89" s="13" t="s">
        <v>469</v>
      </c>
      <c r="B89" s="13"/>
      <c r="C89" s="13" t="s">
        <v>800</v>
      </c>
      <c r="D89" s="13"/>
      <c r="E89" s="13">
        <v>0.27</v>
      </c>
      <c r="F89" s="13">
        <v>0.32</v>
      </c>
      <c r="G89" s="13">
        <v>0.27</v>
      </c>
      <c r="H89" s="13">
        <v>0.27</v>
      </c>
      <c r="I89" s="13">
        <v>0.27</v>
      </c>
      <c r="J89" s="13">
        <v>0.27</v>
      </c>
    </row>
    <row r="90" spans="1:10" x14ac:dyDescent="0.3">
      <c r="A90" s="10" t="s">
        <v>469</v>
      </c>
      <c r="B90" s="10"/>
      <c r="C90" s="10" t="s">
        <v>801</v>
      </c>
      <c r="D90" s="10"/>
      <c r="E90" s="10">
        <v>0.28000000000000003</v>
      </c>
      <c r="F90" s="10">
        <v>0.33</v>
      </c>
      <c r="G90" s="10">
        <v>0.28000000000000003</v>
      </c>
      <c r="H90" s="10">
        <v>0.28000000000000003</v>
      </c>
      <c r="I90" s="10">
        <v>0.28000000000000003</v>
      </c>
      <c r="J90" s="10">
        <v>0.28000000000000003</v>
      </c>
    </row>
    <row r="91" spans="1:10" x14ac:dyDescent="0.3">
      <c r="A91" t="s">
        <v>470</v>
      </c>
      <c r="E91">
        <v>0.25</v>
      </c>
      <c r="F91">
        <v>0.25</v>
      </c>
      <c r="G91">
        <v>0.25</v>
      </c>
      <c r="H91">
        <v>0.25</v>
      </c>
      <c r="I91">
        <v>0.25</v>
      </c>
      <c r="J91">
        <v>0.25</v>
      </c>
    </row>
    <row r="92" spans="1:10" x14ac:dyDescent="0.3">
      <c r="A92" t="s">
        <v>471</v>
      </c>
      <c r="E92">
        <v>0.25</v>
      </c>
      <c r="F92">
        <v>0.25</v>
      </c>
      <c r="G92">
        <v>0.25</v>
      </c>
      <c r="H92">
        <v>0.25</v>
      </c>
      <c r="I92">
        <v>0.25</v>
      </c>
      <c r="J92">
        <v>0.25</v>
      </c>
    </row>
    <row r="93" spans="1:10" x14ac:dyDescent="0.3">
      <c r="A93" s="10" t="s">
        <v>472</v>
      </c>
      <c r="B93" s="10"/>
      <c r="C93" s="10" t="s">
        <v>801</v>
      </c>
      <c r="D93" s="10"/>
      <c r="E93" s="10">
        <v>9999</v>
      </c>
      <c r="F93" s="10">
        <v>9999</v>
      </c>
      <c r="G93" s="10">
        <v>9999</v>
      </c>
      <c r="H93" s="10">
        <v>9999</v>
      </c>
      <c r="I93" s="10">
        <v>9999</v>
      </c>
      <c r="J93" s="10">
        <v>9999</v>
      </c>
    </row>
    <row r="94" spans="1:10" x14ac:dyDescent="0.3">
      <c r="A94" s="11" t="s">
        <v>472</v>
      </c>
      <c r="B94" s="11"/>
      <c r="C94" s="11" t="s">
        <v>639</v>
      </c>
      <c r="D94" s="11"/>
      <c r="E94" s="11">
        <v>9999</v>
      </c>
      <c r="F94" s="11">
        <v>9999</v>
      </c>
      <c r="G94" s="11">
        <v>9999</v>
      </c>
      <c r="H94" s="11">
        <v>9999</v>
      </c>
      <c r="I94" s="11">
        <v>9999</v>
      </c>
      <c r="J94" s="11">
        <v>9999</v>
      </c>
    </row>
    <row r="95" spans="1:10" x14ac:dyDescent="0.3">
      <c r="A95" s="12" t="s">
        <v>472</v>
      </c>
      <c r="B95" s="12"/>
      <c r="C95" s="12" t="s">
        <v>640</v>
      </c>
      <c r="D95" s="12"/>
      <c r="E95" s="12">
        <v>9999</v>
      </c>
      <c r="F95" s="12">
        <v>9999</v>
      </c>
      <c r="G95" s="12">
        <v>9999</v>
      </c>
      <c r="H95" s="12">
        <v>9999</v>
      </c>
      <c r="I95" s="12">
        <v>9999</v>
      </c>
      <c r="J95" s="12">
        <v>9999</v>
      </c>
    </row>
    <row r="96" spans="1:10" x14ac:dyDescent="0.3">
      <c r="A96" t="s">
        <v>356</v>
      </c>
      <c r="B96" t="s">
        <v>26</v>
      </c>
      <c r="C96" t="s">
        <v>357</v>
      </c>
      <c r="D96">
        <v>40</v>
      </c>
      <c r="E96">
        <v>0.38</v>
      </c>
      <c r="F96">
        <v>0.9</v>
      </c>
      <c r="G96">
        <v>0.4</v>
      </c>
      <c r="H96">
        <v>0.4</v>
      </c>
      <c r="I96">
        <v>0.4</v>
      </c>
      <c r="J96">
        <v>0.4</v>
      </c>
    </row>
    <row r="97" spans="1:10" x14ac:dyDescent="0.3">
      <c r="A97" t="s">
        <v>356</v>
      </c>
      <c r="B97" t="s">
        <v>26</v>
      </c>
      <c r="C97" t="s">
        <v>357</v>
      </c>
      <c r="D97">
        <v>50</v>
      </c>
      <c r="E97">
        <v>0.4</v>
      </c>
      <c r="F97">
        <v>1</v>
      </c>
      <c r="G97">
        <v>0.45</v>
      </c>
      <c r="H97">
        <v>0.45</v>
      </c>
      <c r="I97">
        <v>0.45</v>
      </c>
      <c r="J97">
        <v>0.45</v>
      </c>
    </row>
    <row r="98" spans="1:10" x14ac:dyDescent="0.3">
      <c r="A98" t="s">
        <v>356</v>
      </c>
      <c r="B98" t="s">
        <v>26</v>
      </c>
      <c r="C98" t="s">
        <v>357</v>
      </c>
      <c r="D98">
        <v>60</v>
      </c>
      <c r="E98">
        <v>0.45</v>
      </c>
      <c r="F98">
        <v>1.25</v>
      </c>
      <c r="G98">
        <v>0.5</v>
      </c>
      <c r="H98">
        <v>0.5</v>
      </c>
      <c r="I98">
        <v>0.5</v>
      </c>
      <c r="J98">
        <v>0.5</v>
      </c>
    </row>
    <row r="99" spans="1:10" x14ac:dyDescent="0.3">
      <c r="A99" t="s">
        <v>356</v>
      </c>
      <c r="B99" t="s">
        <v>26</v>
      </c>
      <c r="C99" t="s">
        <v>43</v>
      </c>
      <c r="D99">
        <v>40</v>
      </c>
      <c r="E99">
        <v>0.38</v>
      </c>
      <c r="F99">
        <v>0.5</v>
      </c>
      <c r="G99">
        <v>0.4</v>
      </c>
      <c r="H99">
        <v>0.4</v>
      </c>
      <c r="I99">
        <v>0.4</v>
      </c>
      <c r="J99">
        <v>0.4</v>
      </c>
    </row>
    <row r="100" spans="1:10" x14ac:dyDescent="0.3">
      <c r="A100" t="s">
        <v>356</v>
      </c>
      <c r="B100" t="s">
        <v>26</v>
      </c>
      <c r="C100" t="s">
        <v>43</v>
      </c>
      <c r="D100">
        <v>50</v>
      </c>
      <c r="E100">
        <v>0.4</v>
      </c>
      <c r="F100">
        <v>0.6</v>
      </c>
      <c r="G100">
        <v>0.45</v>
      </c>
      <c r="H100">
        <v>0.45</v>
      </c>
      <c r="I100">
        <v>0.45</v>
      </c>
      <c r="J100">
        <v>0.45</v>
      </c>
    </row>
    <row r="101" spans="1:10" x14ac:dyDescent="0.3">
      <c r="A101" t="s">
        <v>356</v>
      </c>
      <c r="B101" t="s">
        <v>26</v>
      </c>
      <c r="C101" t="s">
        <v>43</v>
      </c>
      <c r="D101">
        <v>60</v>
      </c>
      <c r="E101">
        <v>0.45</v>
      </c>
      <c r="F101">
        <v>0.7</v>
      </c>
      <c r="G101">
        <v>0.5</v>
      </c>
      <c r="H101">
        <v>0.5</v>
      </c>
      <c r="I101">
        <v>0.5</v>
      </c>
      <c r="J101">
        <v>0.5</v>
      </c>
    </row>
    <row r="102" spans="1:10" x14ac:dyDescent="0.3">
      <c r="A102" s="11" t="s">
        <v>356</v>
      </c>
      <c r="B102" s="11" t="s">
        <v>26</v>
      </c>
      <c r="C102" s="11" t="s">
        <v>639</v>
      </c>
      <c r="D102" s="11">
        <v>50</v>
      </c>
      <c r="E102" s="11">
        <v>0.4</v>
      </c>
      <c r="F102" s="11">
        <v>0.6</v>
      </c>
      <c r="G102" s="11">
        <v>0.45</v>
      </c>
      <c r="H102" s="11">
        <v>0.45</v>
      </c>
      <c r="I102" s="11">
        <v>0.45</v>
      </c>
      <c r="J102" s="11">
        <v>0.45</v>
      </c>
    </row>
    <row r="103" spans="1:10" x14ac:dyDescent="0.3">
      <c r="A103" t="s">
        <v>805</v>
      </c>
      <c r="D103">
        <v>40</v>
      </c>
      <c r="E103">
        <v>0.38</v>
      </c>
      <c r="F103">
        <v>0.7</v>
      </c>
      <c r="G103">
        <v>0.45</v>
      </c>
      <c r="H103">
        <v>0.45</v>
      </c>
      <c r="I103">
        <v>0.45</v>
      </c>
      <c r="J103">
        <v>0.45</v>
      </c>
    </row>
    <row r="104" spans="1:10" x14ac:dyDescent="0.3">
      <c r="A104" t="s">
        <v>805</v>
      </c>
      <c r="D104">
        <v>50</v>
      </c>
      <c r="E104">
        <v>0.43</v>
      </c>
      <c r="F104">
        <v>0.8</v>
      </c>
      <c r="G104">
        <v>0.5</v>
      </c>
      <c r="H104">
        <v>0.5</v>
      </c>
      <c r="I104">
        <v>0.5</v>
      </c>
      <c r="J104">
        <v>0.5</v>
      </c>
    </row>
    <row r="105" spans="1:10" x14ac:dyDescent="0.3">
      <c r="A105" s="11" t="s">
        <v>805</v>
      </c>
      <c r="B105" s="11"/>
      <c r="C105" s="11" t="s">
        <v>639</v>
      </c>
      <c r="D105" s="11">
        <v>50</v>
      </c>
      <c r="E105" s="11">
        <v>9999</v>
      </c>
      <c r="F105" s="11">
        <v>9999</v>
      </c>
      <c r="G105" s="11">
        <v>9999</v>
      </c>
      <c r="H105" s="11">
        <v>9999</v>
      </c>
      <c r="I105" s="11">
        <v>9999</v>
      </c>
      <c r="J105" s="11">
        <v>9999</v>
      </c>
    </row>
    <row r="106" spans="1:10" x14ac:dyDescent="0.3">
      <c r="A106" t="s">
        <v>482</v>
      </c>
      <c r="E106">
        <v>0.25</v>
      </c>
      <c r="F106">
        <v>0.3</v>
      </c>
      <c r="G106">
        <v>0.25</v>
      </c>
      <c r="H106">
        <v>0.25</v>
      </c>
      <c r="I106">
        <v>0.25</v>
      </c>
      <c r="J106">
        <v>0.25</v>
      </c>
    </row>
    <row r="107" spans="1:10" x14ac:dyDescent="0.3">
      <c r="A107" s="13" t="s">
        <v>482</v>
      </c>
      <c r="B107" s="13"/>
      <c r="C107" s="13" t="s">
        <v>800</v>
      </c>
      <c r="D107" s="13"/>
      <c r="E107" s="13">
        <v>0.27</v>
      </c>
      <c r="F107" s="13">
        <v>0.32</v>
      </c>
      <c r="G107" s="13">
        <v>0.27</v>
      </c>
      <c r="H107" s="13">
        <v>0.27</v>
      </c>
      <c r="I107" s="13">
        <v>0.27</v>
      </c>
      <c r="J107" s="13">
        <v>0.27</v>
      </c>
    </row>
    <row r="108" spans="1:10" x14ac:dyDescent="0.3">
      <c r="A108" s="10" t="s">
        <v>482</v>
      </c>
      <c r="B108" s="10"/>
      <c r="C108" s="10" t="s">
        <v>801</v>
      </c>
      <c r="D108" s="10"/>
      <c r="E108" s="10">
        <v>0.28000000000000003</v>
      </c>
      <c r="F108" s="10">
        <v>0.33</v>
      </c>
      <c r="G108" s="10">
        <v>0.28000000000000003</v>
      </c>
      <c r="H108" s="10">
        <v>0.28000000000000003</v>
      </c>
      <c r="I108" s="10">
        <v>0.28000000000000003</v>
      </c>
      <c r="J108" s="10">
        <v>0.28000000000000003</v>
      </c>
    </row>
    <row r="109" spans="1:10" x14ac:dyDescent="0.3">
      <c r="A109" t="s">
        <v>610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</row>
    <row r="110" spans="1:10" x14ac:dyDescent="0.3">
      <c r="A110" t="s">
        <v>483</v>
      </c>
      <c r="E110">
        <v>0.28000000000000003</v>
      </c>
      <c r="F110">
        <v>0.33</v>
      </c>
      <c r="G110">
        <v>0.31</v>
      </c>
      <c r="H110">
        <v>0.31</v>
      </c>
      <c r="I110">
        <v>0.31</v>
      </c>
      <c r="J110">
        <v>0.31</v>
      </c>
    </row>
    <row r="111" spans="1:10" x14ac:dyDescent="0.3">
      <c r="A111" s="11" t="s">
        <v>483</v>
      </c>
      <c r="B111" s="11"/>
      <c r="C111" s="11" t="s">
        <v>639</v>
      </c>
      <c r="D111" s="11"/>
      <c r="E111" s="11">
        <v>0.3</v>
      </c>
      <c r="F111" s="11">
        <v>0.35</v>
      </c>
      <c r="G111" s="11">
        <v>0.33</v>
      </c>
      <c r="H111" s="11">
        <v>0.33</v>
      </c>
      <c r="I111" s="11">
        <v>0.33</v>
      </c>
      <c r="J111" s="11">
        <v>0.33</v>
      </c>
    </row>
    <row r="112" spans="1:10" x14ac:dyDescent="0.3">
      <c r="A112" t="s">
        <v>485</v>
      </c>
      <c r="E112">
        <v>0.38</v>
      </c>
      <c r="F112">
        <v>0.43</v>
      </c>
      <c r="G112">
        <v>0.4</v>
      </c>
      <c r="H112">
        <v>0.4</v>
      </c>
      <c r="I112">
        <v>0.4</v>
      </c>
      <c r="J112">
        <v>0.4</v>
      </c>
    </row>
    <row r="113" spans="1:10" x14ac:dyDescent="0.3">
      <c r="A113" t="s">
        <v>486</v>
      </c>
      <c r="E113">
        <v>0.4</v>
      </c>
      <c r="F113">
        <v>0.4</v>
      </c>
      <c r="G113">
        <v>0.45</v>
      </c>
      <c r="H113">
        <v>0.45</v>
      </c>
      <c r="I113">
        <v>0.45</v>
      </c>
      <c r="J113">
        <v>0.45</v>
      </c>
    </row>
    <row r="114" spans="1:10" x14ac:dyDescent="0.3">
      <c r="A114" s="11" t="s">
        <v>486</v>
      </c>
      <c r="B114" s="11"/>
      <c r="C114" s="11" t="s">
        <v>639</v>
      </c>
      <c r="D114" s="11"/>
      <c r="E114" s="11">
        <v>9999</v>
      </c>
      <c r="F114" s="11">
        <v>9999</v>
      </c>
      <c r="G114" s="11">
        <v>9999</v>
      </c>
      <c r="H114" s="11">
        <v>9999</v>
      </c>
      <c r="I114" s="11">
        <v>9999</v>
      </c>
      <c r="J114" s="11">
        <v>9999</v>
      </c>
    </row>
    <row r="115" spans="1:10" x14ac:dyDescent="0.3">
      <c r="A115" t="s">
        <v>487</v>
      </c>
      <c r="E115">
        <v>0.35</v>
      </c>
      <c r="F115">
        <v>0.37</v>
      </c>
      <c r="G115">
        <v>0.37</v>
      </c>
      <c r="H115">
        <v>0.37</v>
      </c>
      <c r="I115">
        <v>0.37</v>
      </c>
      <c r="J115">
        <v>0.37</v>
      </c>
    </row>
    <row r="116" spans="1:10" x14ac:dyDescent="0.3">
      <c r="A116" s="11" t="s">
        <v>487</v>
      </c>
      <c r="B116" s="11"/>
      <c r="C116" s="11" t="s">
        <v>639</v>
      </c>
      <c r="D116" s="11"/>
      <c r="E116" s="11">
        <v>0.38</v>
      </c>
      <c r="F116" s="11">
        <v>0.4</v>
      </c>
      <c r="G116" s="11">
        <v>0.4</v>
      </c>
      <c r="H116" s="11">
        <v>0.4</v>
      </c>
      <c r="I116" s="11">
        <v>0.4</v>
      </c>
      <c r="J116" s="11">
        <v>0.4</v>
      </c>
    </row>
    <row r="117" spans="1:10" x14ac:dyDescent="0.3">
      <c r="A117" s="12" t="s">
        <v>487</v>
      </c>
      <c r="B117" s="12"/>
      <c r="C117" s="12" t="s">
        <v>639</v>
      </c>
      <c r="D117" s="12"/>
      <c r="E117" s="12">
        <v>9999</v>
      </c>
      <c r="F117" s="12">
        <v>9999</v>
      </c>
      <c r="G117" s="12">
        <v>9999</v>
      </c>
      <c r="H117" s="12">
        <v>9999</v>
      </c>
      <c r="I117" s="12">
        <v>9999</v>
      </c>
      <c r="J117" s="12">
        <v>9999</v>
      </c>
    </row>
    <row r="118" spans="1:10" x14ac:dyDescent="0.3">
      <c r="A118" s="10" t="s">
        <v>487</v>
      </c>
      <c r="B118" s="10"/>
      <c r="C118" s="10" t="s">
        <v>801</v>
      </c>
      <c r="D118" s="10"/>
      <c r="E118" s="10">
        <v>9999</v>
      </c>
      <c r="F118" s="10">
        <v>9999</v>
      </c>
      <c r="G118" s="10">
        <v>9999</v>
      </c>
      <c r="H118" s="10">
        <v>9999</v>
      </c>
      <c r="I118" s="10">
        <v>9999</v>
      </c>
      <c r="J118" s="10">
        <v>9999</v>
      </c>
    </row>
    <row r="119" spans="1:10" x14ac:dyDescent="0.3">
      <c r="A119" t="s">
        <v>489</v>
      </c>
      <c r="E119">
        <v>0.4</v>
      </c>
      <c r="F119">
        <v>0.45</v>
      </c>
      <c r="G119">
        <v>0.45</v>
      </c>
      <c r="H119">
        <v>0.45</v>
      </c>
      <c r="I119">
        <v>0.45</v>
      </c>
      <c r="J119">
        <v>0.45</v>
      </c>
    </row>
    <row r="120" spans="1:10" x14ac:dyDescent="0.3">
      <c r="A120" t="s">
        <v>792</v>
      </c>
      <c r="E120">
        <v>0.45</v>
      </c>
      <c r="F120">
        <v>0.55000000000000004</v>
      </c>
      <c r="G120">
        <v>0.5</v>
      </c>
      <c r="H120">
        <v>0.5</v>
      </c>
      <c r="I120">
        <v>0.5</v>
      </c>
      <c r="J120">
        <v>0.5</v>
      </c>
    </row>
    <row r="121" spans="1:10" x14ac:dyDescent="0.3">
      <c r="A121" t="s">
        <v>491</v>
      </c>
      <c r="E121">
        <v>0.35</v>
      </c>
      <c r="F121">
        <v>0.37</v>
      </c>
      <c r="G121">
        <v>0.37</v>
      </c>
      <c r="H121">
        <v>0.37</v>
      </c>
      <c r="I121">
        <v>0.37</v>
      </c>
      <c r="J121">
        <v>0.37</v>
      </c>
    </row>
    <row r="122" spans="1:10" x14ac:dyDescent="0.3">
      <c r="A122" s="11" t="s">
        <v>491</v>
      </c>
      <c r="B122" s="11"/>
      <c r="C122" s="11" t="s">
        <v>639</v>
      </c>
      <c r="D122" s="11"/>
      <c r="E122" s="11">
        <v>9999</v>
      </c>
      <c r="F122" s="11">
        <v>9999</v>
      </c>
      <c r="G122" s="11">
        <v>9999</v>
      </c>
      <c r="H122" s="11">
        <v>9999</v>
      </c>
      <c r="I122" s="11">
        <v>9999</v>
      </c>
      <c r="J122" s="11">
        <v>9999</v>
      </c>
    </row>
    <row r="123" spans="1:10" x14ac:dyDescent="0.3">
      <c r="A123" t="s">
        <v>492</v>
      </c>
      <c r="E123">
        <v>0.25</v>
      </c>
      <c r="F123">
        <v>0.3</v>
      </c>
      <c r="G123">
        <v>0.25</v>
      </c>
      <c r="H123">
        <v>0.25</v>
      </c>
      <c r="I123">
        <v>0.25</v>
      </c>
      <c r="J123">
        <v>0.25</v>
      </c>
    </row>
    <row r="124" spans="1:10" x14ac:dyDescent="0.3">
      <c r="A124" s="13" t="s">
        <v>492</v>
      </c>
      <c r="B124" s="13"/>
      <c r="C124" s="13" t="s">
        <v>800</v>
      </c>
      <c r="D124" s="13"/>
      <c r="E124" s="13">
        <v>0.27</v>
      </c>
      <c r="F124" s="13">
        <v>0.32</v>
      </c>
      <c r="G124" s="13">
        <v>0.27</v>
      </c>
      <c r="H124" s="13">
        <v>0.27</v>
      </c>
      <c r="I124" s="13">
        <v>0.27</v>
      </c>
      <c r="J124" s="13">
        <v>0.27</v>
      </c>
    </row>
    <row r="125" spans="1:10" x14ac:dyDescent="0.3">
      <c r="A125" s="10" t="s">
        <v>492</v>
      </c>
      <c r="B125" s="10"/>
      <c r="C125" s="10" t="s">
        <v>801</v>
      </c>
      <c r="D125" s="10"/>
      <c r="E125" s="10">
        <v>0.28000000000000003</v>
      </c>
      <c r="F125" s="10">
        <v>0.33</v>
      </c>
      <c r="G125" s="10">
        <v>0.28000000000000003</v>
      </c>
      <c r="H125" s="10">
        <v>0.28000000000000003</v>
      </c>
      <c r="I125" s="10">
        <v>0.28000000000000003</v>
      </c>
      <c r="J125" s="10">
        <v>0.28000000000000003</v>
      </c>
    </row>
    <row r="126" spans="1:10" x14ac:dyDescent="0.3">
      <c r="A126" t="s">
        <v>806</v>
      </c>
    </row>
    <row r="127" spans="1:10" x14ac:dyDescent="0.3">
      <c r="A127" t="s">
        <v>494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</row>
  </sheetData>
  <autoFilter ref="A1:J127" xr:uid="{00000000-0009-0000-0000-00000A000000}"/>
  <sortState xmlns:xlrd2="http://schemas.microsoft.com/office/spreadsheetml/2017/richdata2" ref="A2:J127">
    <sortCondition ref="A2:A12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I35"/>
  <sheetViews>
    <sheetView topLeftCell="AH1" workbookViewId="0">
      <pane ySplit="1" topLeftCell="A5" activePane="bottomLeft" state="frozen"/>
      <selection activeCell="G8" sqref="A6:M35"/>
      <selection pane="bottomLeft" activeCell="G8" sqref="A6:M35"/>
    </sheetView>
  </sheetViews>
  <sheetFormatPr defaultColWidth="8.6640625" defaultRowHeight="14.4" x14ac:dyDescent="0.3"/>
  <cols>
    <col min="1" max="1" width="21.6640625" customWidth="1"/>
    <col min="10" max="10" width="11.109375" customWidth="1"/>
    <col min="46" max="46" width="18.109375" bestFit="1" customWidth="1"/>
  </cols>
  <sheetData>
    <row r="1" spans="1:61" s="156" customFormat="1" ht="84" x14ac:dyDescent="0.3">
      <c r="A1" s="300" t="s">
        <v>807</v>
      </c>
      <c r="B1" s="299" t="s">
        <v>808</v>
      </c>
      <c r="C1" s="299" t="s">
        <v>809</v>
      </c>
      <c r="D1" s="299" t="s">
        <v>810</v>
      </c>
      <c r="E1" s="299" t="s">
        <v>811</v>
      </c>
      <c r="F1" s="157" t="s">
        <v>812</v>
      </c>
      <c r="G1" s="157" t="s">
        <v>813</v>
      </c>
      <c r="H1" s="157" t="s">
        <v>814</v>
      </c>
      <c r="I1" s="157" t="s">
        <v>815</v>
      </c>
      <c r="J1" s="157" t="s">
        <v>816</v>
      </c>
      <c r="K1" s="157" t="s">
        <v>817</v>
      </c>
      <c r="L1" s="157" t="s">
        <v>818</v>
      </c>
      <c r="M1" s="157" t="s">
        <v>819</v>
      </c>
      <c r="N1" s="157" t="s">
        <v>820</v>
      </c>
      <c r="O1" s="157" t="s">
        <v>821</v>
      </c>
      <c r="P1" s="157" t="s">
        <v>822</v>
      </c>
      <c r="Q1" s="157" t="s">
        <v>823</v>
      </c>
      <c r="R1" s="157" t="s">
        <v>824</v>
      </c>
      <c r="S1" s="157" t="s">
        <v>825</v>
      </c>
      <c r="T1" s="157" t="s">
        <v>826</v>
      </c>
      <c r="U1" s="157" t="s">
        <v>827</v>
      </c>
      <c r="V1" s="157" t="s">
        <v>827</v>
      </c>
      <c r="W1" s="157" t="s">
        <v>828</v>
      </c>
      <c r="X1" s="157" t="s">
        <v>829</v>
      </c>
      <c r="Y1" s="157" t="s">
        <v>830</v>
      </c>
      <c r="Z1" s="157" t="s">
        <v>831</v>
      </c>
      <c r="AA1" s="157" t="s">
        <v>832</v>
      </c>
      <c r="AB1" s="157" t="s">
        <v>833</v>
      </c>
      <c r="AC1" s="157" t="s">
        <v>834</v>
      </c>
      <c r="AD1" s="157" t="s">
        <v>835</v>
      </c>
      <c r="AE1" s="157" t="s">
        <v>836</v>
      </c>
      <c r="AF1" s="157" t="s">
        <v>837</v>
      </c>
      <c r="AG1" s="157" t="s">
        <v>838</v>
      </c>
      <c r="AH1" s="157" t="s">
        <v>839</v>
      </c>
      <c r="AI1" s="157" t="s">
        <v>840</v>
      </c>
      <c r="AJ1" s="157" t="s">
        <v>841</v>
      </c>
      <c r="AK1" s="157" t="s">
        <v>842</v>
      </c>
      <c r="AL1" s="157" t="s">
        <v>843</v>
      </c>
      <c r="AM1" s="157" t="s">
        <v>844</v>
      </c>
      <c r="AN1" s="157" t="s">
        <v>845</v>
      </c>
      <c r="AO1" s="157" t="s">
        <v>846</v>
      </c>
      <c r="AP1" s="157" t="s">
        <v>847</v>
      </c>
      <c r="AQ1" s="157" t="s">
        <v>848</v>
      </c>
      <c r="AR1" s="157" t="s">
        <v>849</v>
      </c>
      <c r="AS1" s="157" t="s">
        <v>850</v>
      </c>
      <c r="AT1" s="157" t="s">
        <v>851</v>
      </c>
      <c r="AU1" s="157" t="s">
        <v>852</v>
      </c>
      <c r="AV1" s="157" t="s">
        <v>853</v>
      </c>
      <c r="AW1" s="157" t="s">
        <v>854</v>
      </c>
      <c r="AX1" s="156" t="s">
        <v>855</v>
      </c>
      <c r="AY1" s="156" t="s">
        <v>856</v>
      </c>
      <c r="AZ1" s="156" t="s">
        <v>857</v>
      </c>
      <c r="BA1" s="156" t="s">
        <v>858</v>
      </c>
      <c r="BB1" s="156" t="s">
        <v>859</v>
      </c>
      <c r="BC1" s="156" t="s">
        <v>860</v>
      </c>
      <c r="BD1" s="156" t="s">
        <v>861</v>
      </c>
      <c r="BE1" s="156" t="s">
        <v>862</v>
      </c>
      <c r="BF1" s="156" t="s">
        <v>863</v>
      </c>
      <c r="BG1" s="156" t="s">
        <v>864</v>
      </c>
      <c r="BH1" s="156" t="s">
        <v>865</v>
      </c>
      <c r="BI1" s="156" t="s">
        <v>748</v>
      </c>
    </row>
    <row r="2" spans="1:61" x14ac:dyDescent="0.3">
      <c r="A2">
        <v>1</v>
      </c>
      <c r="B2" t="s">
        <v>866</v>
      </c>
      <c r="C2" t="s">
        <v>866</v>
      </c>
      <c r="D2" t="s">
        <v>866</v>
      </c>
      <c r="E2" t="s">
        <v>768</v>
      </c>
      <c r="F2" t="s">
        <v>866</v>
      </c>
      <c r="G2" t="s">
        <v>768</v>
      </c>
      <c r="H2" t="s">
        <v>866</v>
      </c>
      <c r="I2" t="s">
        <v>866</v>
      </c>
      <c r="J2" t="s">
        <v>866</v>
      </c>
      <c r="K2" t="s">
        <v>866</v>
      </c>
      <c r="L2" t="s">
        <v>866</v>
      </c>
      <c r="M2" t="s">
        <v>866</v>
      </c>
      <c r="N2" t="s">
        <v>768</v>
      </c>
      <c r="O2" t="s">
        <v>768</v>
      </c>
      <c r="P2" t="s">
        <v>867</v>
      </c>
      <c r="Q2" t="s">
        <v>866</v>
      </c>
      <c r="R2" t="s">
        <v>867</v>
      </c>
      <c r="S2" t="s">
        <v>866</v>
      </c>
      <c r="T2" t="s">
        <v>866</v>
      </c>
      <c r="U2" t="s">
        <v>866</v>
      </c>
      <c r="V2" t="s">
        <v>866</v>
      </c>
      <c r="W2" t="s">
        <v>868</v>
      </c>
      <c r="X2" t="s">
        <v>866</v>
      </c>
      <c r="Y2" t="s">
        <v>768</v>
      </c>
      <c r="Z2" t="s">
        <v>866</v>
      </c>
      <c r="AA2" t="s">
        <v>866</v>
      </c>
      <c r="AB2" t="s">
        <v>869</v>
      </c>
      <c r="AC2" t="s">
        <v>768</v>
      </c>
      <c r="AD2" t="s">
        <v>866</v>
      </c>
      <c r="AE2" t="s">
        <v>870</v>
      </c>
      <c r="AF2" t="s">
        <v>866</v>
      </c>
      <c r="AG2" t="s">
        <v>768</v>
      </c>
      <c r="AH2" t="s">
        <v>768</v>
      </c>
      <c r="AI2" t="s">
        <v>768</v>
      </c>
      <c r="AJ2" t="s">
        <v>866</v>
      </c>
      <c r="AK2" t="s">
        <v>866</v>
      </c>
      <c r="AL2" t="s">
        <v>868</v>
      </c>
      <c r="AM2" t="s">
        <v>866</v>
      </c>
      <c r="AN2" t="s">
        <v>768</v>
      </c>
      <c r="AO2" t="s">
        <v>866</v>
      </c>
      <c r="AP2" t="s">
        <v>866</v>
      </c>
      <c r="AQ2" t="s">
        <v>866</v>
      </c>
      <c r="AR2" t="s">
        <v>768</v>
      </c>
      <c r="AS2" t="s">
        <v>768</v>
      </c>
      <c r="AT2" t="s">
        <v>768</v>
      </c>
      <c r="AU2" t="s">
        <v>866</v>
      </c>
      <c r="AV2" t="s">
        <v>768</v>
      </c>
      <c r="AW2" t="s">
        <v>866</v>
      </c>
      <c r="AX2" t="s">
        <v>866</v>
      </c>
      <c r="AY2" t="s">
        <v>866</v>
      </c>
      <c r="AZ2" t="s">
        <v>866</v>
      </c>
      <c r="BA2" t="s">
        <v>868</v>
      </c>
      <c r="BB2" t="s">
        <v>866</v>
      </c>
      <c r="BC2" t="s">
        <v>357</v>
      </c>
      <c r="BD2" t="s">
        <v>768</v>
      </c>
      <c r="BE2" t="s">
        <v>768</v>
      </c>
      <c r="BF2" t="s">
        <v>868</v>
      </c>
      <c r="BG2" t="s">
        <v>868</v>
      </c>
      <c r="BH2" t="s">
        <v>768</v>
      </c>
    </row>
    <row r="3" spans="1:61" x14ac:dyDescent="0.3">
      <c r="A3">
        <v>2</v>
      </c>
      <c r="B3" t="s">
        <v>867</v>
      </c>
      <c r="C3" t="s">
        <v>871</v>
      </c>
      <c r="D3" t="s">
        <v>871</v>
      </c>
      <c r="E3" t="s">
        <v>868</v>
      </c>
      <c r="F3" t="s">
        <v>867</v>
      </c>
      <c r="G3" s="305" t="s">
        <v>748</v>
      </c>
      <c r="H3" t="s">
        <v>867</v>
      </c>
      <c r="I3" t="s">
        <v>768</v>
      </c>
      <c r="J3" t="s">
        <v>871</v>
      </c>
      <c r="K3" t="s">
        <v>872</v>
      </c>
      <c r="L3" t="s">
        <v>873</v>
      </c>
      <c r="M3" t="s">
        <v>867</v>
      </c>
      <c r="N3" s="305" t="s">
        <v>748</v>
      </c>
      <c r="O3" s="305" t="s">
        <v>748</v>
      </c>
      <c r="P3" t="s">
        <v>768</v>
      </c>
      <c r="Q3" t="s">
        <v>873</v>
      </c>
      <c r="R3" t="s">
        <v>768</v>
      </c>
      <c r="S3" t="s">
        <v>873</v>
      </c>
      <c r="T3" t="s">
        <v>873</v>
      </c>
      <c r="U3" t="s">
        <v>768</v>
      </c>
      <c r="V3" t="s">
        <v>768</v>
      </c>
      <c r="W3" t="s">
        <v>873</v>
      </c>
      <c r="X3" t="s">
        <v>871</v>
      </c>
      <c r="Y3" s="305" t="s">
        <v>748</v>
      </c>
      <c r="Z3" t="s">
        <v>874</v>
      </c>
      <c r="AA3" t="s">
        <v>871</v>
      </c>
      <c r="AB3" t="s">
        <v>875</v>
      </c>
      <c r="AC3" s="305" t="s">
        <v>748</v>
      </c>
      <c r="AD3" t="s">
        <v>876</v>
      </c>
      <c r="AE3" t="s">
        <v>866</v>
      </c>
      <c r="AF3" t="s">
        <v>873</v>
      </c>
      <c r="AG3" s="305" t="s">
        <v>748</v>
      </c>
      <c r="AH3" t="s">
        <v>357</v>
      </c>
      <c r="AI3" s="305" t="s">
        <v>748</v>
      </c>
      <c r="AJ3" t="s">
        <v>871</v>
      </c>
      <c r="AK3" t="s">
        <v>871</v>
      </c>
      <c r="AL3" t="s">
        <v>873</v>
      </c>
      <c r="AM3" t="s">
        <v>867</v>
      </c>
      <c r="AN3" t="s">
        <v>868</v>
      </c>
      <c r="AO3" t="s">
        <v>873</v>
      </c>
      <c r="AP3" t="s">
        <v>873</v>
      </c>
      <c r="AQ3" t="s">
        <v>877</v>
      </c>
      <c r="AR3" s="305" t="s">
        <v>748</v>
      </c>
      <c r="AS3" t="s">
        <v>357</v>
      </c>
      <c r="AT3" s="305" t="s">
        <v>748</v>
      </c>
      <c r="AU3" t="s">
        <v>873</v>
      </c>
      <c r="AV3" s="305" t="s">
        <v>748</v>
      </c>
      <c r="AW3" t="s">
        <v>873</v>
      </c>
      <c r="AX3" t="s">
        <v>871</v>
      </c>
      <c r="AY3" t="s">
        <v>878</v>
      </c>
      <c r="AZ3" t="s">
        <v>873</v>
      </c>
      <c r="BA3" s="305" t="s">
        <v>748</v>
      </c>
      <c r="BB3" t="s">
        <v>879</v>
      </c>
      <c r="BC3" t="s">
        <v>868</v>
      </c>
      <c r="BD3" s="305" t="s">
        <v>748</v>
      </c>
      <c r="BE3" s="305" t="s">
        <v>748</v>
      </c>
      <c r="BF3" t="s">
        <v>878</v>
      </c>
      <c r="BG3" s="305" t="s">
        <v>748</v>
      </c>
      <c r="BH3" s="305" t="s">
        <v>748</v>
      </c>
    </row>
    <row r="4" spans="1:61" x14ac:dyDescent="0.3">
      <c r="A4">
        <v>3</v>
      </c>
      <c r="B4" t="s">
        <v>874</v>
      </c>
      <c r="C4" t="s">
        <v>867</v>
      </c>
      <c r="D4" t="s">
        <v>867</v>
      </c>
      <c r="E4" s="305" t="s">
        <v>748</v>
      </c>
      <c r="F4" t="s">
        <v>874</v>
      </c>
      <c r="H4" t="s">
        <v>880</v>
      </c>
      <c r="I4" s="305" t="s">
        <v>748</v>
      </c>
      <c r="J4" t="s">
        <v>881</v>
      </c>
      <c r="K4" t="s">
        <v>882</v>
      </c>
      <c r="L4" t="s">
        <v>768</v>
      </c>
      <c r="M4" t="s">
        <v>874</v>
      </c>
      <c r="P4" t="s">
        <v>357</v>
      </c>
      <c r="Q4" t="s">
        <v>874</v>
      </c>
      <c r="R4" s="305" t="s">
        <v>748</v>
      </c>
      <c r="S4" t="s">
        <v>883</v>
      </c>
      <c r="T4" t="s">
        <v>883</v>
      </c>
      <c r="U4" t="s">
        <v>880</v>
      </c>
      <c r="V4" t="s">
        <v>880</v>
      </c>
      <c r="W4" t="s">
        <v>878</v>
      </c>
      <c r="X4" t="s">
        <v>768</v>
      </c>
      <c r="Z4" t="s">
        <v>880</v>
      </c>
      <c r="AA4" t="s">
        <v>867</v>
      </c>
      <c r="AB4" t="s">
        <v>357</v>
      </c>
      <c r="AD4" t="s">
        <v>875</v>
      </c>
      <c r="AE4" t="s">
        <v>871</v>
      </c>
      <c r="AF4" t="s">
        <v>884</v>
      </c>
      <c r="AH4" s="305" t="s">
        <v>748</v>
      </c>
      <c r="AJ4" t="s">
        <v>873</v>
      </c>
      <c r="AK4" t="s">
        <v>880</v>
      </c>
      <c r="AL4" t="s">
        <v>885</v>
      </c>
      <c r="AM4" t="s">
        <v>874</v>
      </c>
      <c r="AN4" s="305" t="s">
        <v>748</v>
      </c>
      <c r="AO4" t="s">
        <v>885</v>
      </c>
      <c r="AP4" t="s">
        <v>867</v>
      </c>
      <c r="AQ4" t="s">
        <v>880</v>
      </c>
      <c r="AS4" s="305" t="s">
        <v>748</v>
      </c>
      <c r="AU4" t="s">
        <v>874</v>
      </c>
      <c r="AW4" t="s">
        <v>768</v>
      </c>
      <c r="AX4" t="s">
        <v>867</v>
      </c>
      <c r="AY4" s="305" t="s">
        <v>748</v>
      </c>
      <c r="AZ4" t="s">
        <v>768</v>
      </c>
      <c r="BB4" t="s">
        <v>871</v>
      </c>
      <c r="BC4" t="s">
        <v>878</v>
      </c>
      <c r="BF4" t="s">
        <v>876</v>
      </c>
    </row>
    <row r="5" spans="1:61" x14ac:dyDescent="0.3">
      <c r="A5">
        <v>4</v>
      </c>
      <c r="B5" t="s">
        <v>877</v>
      </c>
      <c r="C5" t="s">
        <v>886</v>
      </c>
      <c r="D5" t="s">
        <v>886</v>
      </c>
      <c r="F5" t="s">
        <v>877</v>
      </c>
      <c r="H5" t="s">
        <v>358</v>
      </c>
      <c r="J5" t="s">
        <v>874</v>
      </c>
      <c r="K5" t="s">
        <v>887</v>
      </c>
      <c r="L5" t="s">
        <v>885</v>
      </c>
      <c r="M5" t="s">
        <v>888</v>
      </c>
      <c r="P5" t="s">
        <v>889</v>
      </c>
      <c r="Q5" t="s">
        <v>768</v>
      </c>
      <c r="S5" t="s">
        <v>890</v>
      </c>
      <c r="T5" t="s">
        <v>891</v>
      </c>
      <c r="U5" t="s">
        <v>875</v>
      </c>
      <c r="V5" t="s">
        <v>875</v>
      </c>
      <c r="W5" t="s">
        <v>885</v>
      </c>
      <c r="X5" t="s">
        <v>892</v>
      </c>
      <c r="Z5" t="s">
        <v>893</v>
      </c>
      <c r="AA5" t="s">
        <v>874</v>
      </c>
      <c r="AB5" t="s">
        <v>868</v>
      </c>
      <c r="AD5" t="s">
        <v>868</v>
      </c>
      <c r="AE5" t="s">
        <v>768</v>
      </c>
      <c r="AF5" t="s">
        <v>867</v>
      </c>
      <c r="AJ5" t="s">
        <v>880</v>
      </c>
      <c r="AK5" t="s">
        <v>885</v>
      </c>
      <c r="AL5" t="s">
        <v>875</v>
      </c>
      <c r="AM5" t="s">
        <v>768</v>
      </c>
      <c r="AO5" t="s">
        <v>875</v>
      </c>
      <c r="AP5" t="s">
        <v>768</v>
      </c>
      <c r="AQ5" t="s">
        <v>358</v>
      </c>
      <c r="AU5" t="s">
        <v>768</v>
      </c>
      <c r="AW5" t="s">
        <v>875</v>
      </c>
      <c r="AX5" t="s">
        <v>874</v>
      </c>
      <c r="AZ5" t="s">
        <v>885</v>
      </c>
      <c r="BB5" t="s">
        <v>874</v>
      </c>
      <c r="BC5" s="305" t="s">
        <v>748</v>
      </c>
      <c r="BF5" t="s">
        <v>875</v>
      </c>
    </row>
    <row r="6" spans="1:61" x14ac:dyDescent="0.3">
      <c r="A6">
        <v>5</v>
      </c>
      <c r="B6" t="s">
        <v>768</v>
      </c>
      <c r="C6" t="s">
        <v>885</v>
      </c>
      <c r="D6" t="s">
        <v>885</v>
      </c>
      <c r="F6" t="s">
        <v>768</v>
      </c>
      <c r="H6" t="s">
        <v>876</v>
      </c>
      <c r="J6" t="s">
        <v>880</v>
      </c>
      <c r="K6" t="s">
        <v>868</v>
      </c>
      <c r="L6" t="s">
        <v>875</v>
      </c>
      <c r="M6" t="s">
        <v>768</v>
      </c>
      <c r="P6" s="305" t="s">
        <v>748</v>
      </c>
      <c r="Q6" t="s">
        <v>880</v>
      </c>
      <c r="S6" t="s">
        <v>894</v>
      </c>
      <c r="T6" t="s">
        <v>895</v>
      </c>
      <c r="U6" t="s">
        <v>887</v>
      </c>
      <c r="V6" t="s">
        <v>887</v>
      </c>
      <c r="W6" t="s">
        <v>887</v>
      </c>
      <c r="X6" t="s">
        <v>887</v>
      </c>
      <c r="Z6" t="s">
        <v>869</v>
      </c>
      <c r="AA6" t="s">
        <v>768</v>
      </c>
      <c r="AB6" t="s">
        <v>878</v>
      </c>
      <c r="AD6" s="305" t="s">
        <v>748</v>
      </c>
      <c r="AE6" t="s">
        <v>885</v>
      </c>
      <c r="AF6" t="s">
        <v>874</v>
      </c>
      <c r="AJ6" t="s">
        <v>885</v>
      </c>
      <c r="AK6" t="s">
        <v>875</v>
      </c>
      <c r="AL6" t="s">
        <v>768</v>
      </c>
      <c r="AM6" t="s">
        <v>880</v>
      </c>
      <c r="AO6" t="s">
        <v>887</v>
      </c>
      <c r="AP6" t="s">
        <v>885</v>
      </c>
      <c r="AQ6" t="s">
        <v>869</v>
      </c>
      <c r="AU6" t="s">
        <v>880</v>
      </c>
      <c r="AW6" t="s">
        <v>887</v>
      </c>
      <c r="AX6" t="s">
        <v>885</v>
      </c>
      <c r="AZ6" t="s">
        <v>876</v>
      </c>
      <c r="BB6" t="s">
        <v>880</v>
      </c>
      <c r="BF6" t="s">
        <v>885</v>
      </c>
    </row>
    <row r="7" spans="1:61" x14ac:dyDescent="0.3">
      <c r="A7">
        <v>6</v>
      </c>
      <c r="B7" t="s">
        <v>880</v>
      </c>
      <c r="C7" t="s">
        <v>869</v>
      </c>
      <c r="D7" t="s">
        <v>869</v>
      </c>
      <c r="F7" t="s">
        <v>880</v>
      </c>
      <c r="H7" t="s">
        <v>869</v>
      </c>
      <c r="J7" t="s">
        <v>885</v>
      </c>
      <c r="K7" s="305" t="s">
        <v>748</v>
      </c>
      <c r="L7" t="s">
        <v>887</v>
      </c>
      <c r="M7" t="s">
        <v>880</v>
      </c>
      <c r="Q7" t="s">
        <v>885</v>
      </c>
      <c r="S7" t="s">
        <v>896</v>
      </c>
      <c r="T7" t="s">
        <v>867</v>
      </c>
      <c r="U7" t="s">
        <v>357</v>
      </c>
      <c r="V7" t="s">
        <v>357</v>
      </c>
      <c r="W7" t="s">
        <v>357</v>
      </c>
      <c r="X7" t="s">
        <v>868</v>
      </c>
      <c r="Z7" t="s">
        <v>875</v>
      </c>
      <c r="AA7" t="s">
        <v>880</v>
      </c>
      <c r="AB7" s="305" t="s">
        <v>748</v>
      </c>
      <c r="AE7" t="s">
        <v>897</v>
      </c>
      <c r="AF7" t="s">
        <v>768</v>
      </c>
      <c r="AJ7" t="s">
        <v>875</v>
      </c>
      <c r="AK7" t="s">
        <v>887</v>
      </c>
      <c r="AL7" t="s">
        <v>878</v>
      </c>
      <c r="AM7" t="s">
        <v>885</v>
      </c>
      <c r="AO7" t="s">
        <v>868</v>
      </c>
      <c r="AP7" t="s">
        <v>876</v>
      </c>
      <c r="AQ7" t="s">
        <v>875</v>
      </c>
      <c r="AU7" t="s">
        <v>885</v>
      </c>
      <c r="AW7" t="s">
        <v>357</v>
      </c>
      <c r="AX7" t="s">
        <v>876</v>
      </c>
      <c r="AZ7" t="s">
        <v>875</v>
      </c>
      <c r="BB7" t="s">
        <v>885</v>
      </c>
      <c r="BF7" t="s">
        <v>887</v>
      </c>
    </row>
    <row r="8" spans="1:61" x14ac:dyDescent="0.3">
      <c r="A8">
        <v>7</v>
      </c>
      <c r="B8" t="s">
        <v>885</v>
      </c>
      <c r="C8" t="s">
        <v>875</v>
      </c>
      <c r="D8" t="s">
        <v>875</v>
      </c>
      <c r="F8" t="s">
        <v>885</v>
      </c>
      <c r="H8" t="s">
        <v>875</v>
      </c>
      <c r="J8" t="s">
        <v>875</v>
      </c>
      <c r="L8" t="s">
        <v>357</v>
      </c>
      <c r="M8" t="s">
        <v>885</v>
      </c>
      <c r="Q8" t="s">
        <v>876</v>
      </c>
      <c r="S8" t="s">
        <v>898</v>
      </c>
      <c r="T8" t="s">
        <v>768</v>
      </c>
      <c r="U8" s="305" t="s">
        <v>748</v>
      </c>
      <c r="V8" s="305" t="s">
        <v>748</v>
      </c>
      <c r="W8" s="305" t="s">
        <v>748</v>
      </c>
      <c r="X8" s="305" t="s">
        <v>748</v>
      </c>
      <c r="Z8" t="s">
        <v>357</v>
      </c>
      <c r="AA8" t="s">
        <v>885</v>
      </c>
      <c r="AE8" t="s">
        <v>875</v>
      </c>
      <c r="AF8" t="s">
        <v>899</v>
      </c>
      <c r="AJ8" t="s">
        <v>887</v>
      </c>
      <c r="AK8" t="s">
        <v>357</v>
      </c>
      <c r="AL8" t="s">
        <v>887</v>
      </c>
      <c r="AM8" t="s">
        <v>900</v>
      </c>
      <c r="AO8" t="s">
        <v>878</v>
      </c>
      <c r="AP8" t="s">
        <v>875</v>
      </c>
      <c r="AQ8" t="s">
        <v>357</v>
      </c>
      <c r="AU8" t="s">
        <v>358</v>
      </c>
      <c r="AW8" t="s">
        <v>868</v>
      </c>
      <c r="AX8" t="s">
        <v>875</v>
      </c>
      <c r="AZ8" t="s">
        <v>887</v>
      </c>
      <c r="BB8" t="s">
        <v>875</v>
      </c>
      <c r="BF8" s="305" t="s">
        <v>748</v>
      </c>
    </row>
    <row r="9" spans="1:61" x14ac:dyDescent="0.3">
      <c r="A9">
        <v>8</v>
      </c>
      <c r="B9" t="s">
        <v>358</v>
      </c>
      <c r="C9" t="s">
        <v>887</v>
      </c>
      <c r="D9" t="s">
        <v>887</v>
      </c>
      <c r="F9" t="s">
        <v>467</v>
      </c>
      <c r="H9" t="s">
        <v>357</v>
      </c>
      <c r="J9" t="s">
        <v>887</v>
      </c>
      <c r="L9" t="s">
        <v>868</v>
      </c>
      <c r="M9" t="s">
        <v>900</v>
      </c>
      <c r="Q9" t="s">
        <v>869</v>
      </c>
      <c r="S9" t="s">
        <v>901</v>
      </c>
      <c r="T9" t="s">
        <v>885</v>
      </c>
      <c r="Z9" t="s">
        <v>868</v>
      </c>
      <c r="AA9" t="s">
        <v>358</v>
      </c>
      <c r="AE9" t="s">
        <v>887</v>
      </c>
      <c r="AF9" t="s">
        <v>467</v>
      </c>
      <c r="AJ9" t="s">
        <v>868</v>
      </c>
      <c r="AK9" t="s">
        <v>868</v>
      </c>
      <c r="AL9" s="305" t="s">
        <v>748</v>
      </c>
      <c r="AM9" t="s">
        <v>358</v>
      </c>
      <c r="AO9" s="305" t="s">
        <v>748</v>
      </c>
      <c r="AP9" t="s">
        <v>887</v>
      </c>
      <c r="AQ9" t="s">
        <v>868</v>
      </c>
      <c r="AU9" t="s">
        <v>893</v>
      </c>
      <c r="AW9" t="s">
        <v>878</v>
      </c>
      <c r="AX9" t="s">
        <v>887</v>
      </c>
      <c r="AZ9" t="s">
        <v>357</v>
      </c>
      <c r="BB9" t="s">
        <v>887</v>
      </c>
    </row>
    <row r="10" spans="1:61" x14ac:dyDescent="0.3">
      <c r="A10">
        <v>9</v>
      </c>
      <c r="B10" t="s">
        <v>893</v>
      </c>
      <c r="C10" t="s">
        <v>868</v>
      </c>
      <c r="D10" t="s">
        <v>868</v>
      </c>
      <c r="F10" t="s">
        <v>876</v>
      </c>
      <c r="H10" t="s">
        <v>868</v>
      </c>
      <c r="J10" t="s">
        <v>357</v>
      </c>
      <c r="L10" t="s">
        <v>878</v>
      </c>
      <c r="M10" t="s">
        <v>358</v>
      </c>
      <c r="Q10" t="s">
        <v>875</v>
      </c>
      <c r="S10" t="s">
        <v>902</v>
      </c>
      <c r="T10" t="s">
        <v>875</v>
      </c>
      <c r="Z10" t="s">
        <v>878</v>
      </c>
      <c r="AA10" t="s">
        <v>893</v>
      </c>
      <c r="AE10" t="s">
        <v>357</v>
      </c>
      <c r="AF10" t="s">
        <v>876</v>
      </c>
      <c r="AJ10" t="s">
        <v>878</v>
      </c>
      <c r="AK10" t="s">
        <v>878</v>
      </c>
      <c r="AM10" t="s">
        <v>467</v>
      </c>
      <c r="AP10" t="s">
        <v>357</v>
      </c>
      <c r="AQ10" t="s">
        <v>878</v>
      </c>
      <c r="AU10" t="s">
        <v>467</v>
      </c>
      <c r="AW10" s="305" t="s">
        <v>748</v>
      </c>
      <c r="AX10" t="s">
        <v>357</v>
      </c>
      <c r="AZ10" t="s">
        <v>868</v>
      </c>
      <c r="BB10" t="s">
        <v>868</v>
      </c>
    </row>
    <row r="11" spans="1:61" x14ac:dyDescent="0.3">
      <c r="A11">
        <v>10</v>
      </c>
      <c r="B11" t="s">
        <v>899</v>
      </c>
      <c r="C11" t="s">
        <v>878</v>
      </c>
      <c r="D11" t="s">
        <v>878</v>
      </c>
      <c r="F11" t="s">
        <v>869</v>
      </c>
      <c r="H11" t="s">
        <v>878</v>
      </c>
      <c r="J11" t="s">
        <v>868</v>
      </c>
      <c r="L11" s="305" t="s">
        <v>748</v>
      </c>
      <c r="M11" t="s">
        <v>467</v>
      </c>
      <c r="Q11" t="s">
        <v>903</v>
      </c>
      <c r="S11" t="s">
        <v>904</v>
      </c>
      <c r="T11" t="s">
        <v>903</v>
      </c>
      <c r="Z11" s="305" t="s">
        <v>748</v>
      </c>
      <c r="AA11" t="s">
        <v>467</v>
      </c>
      <c r="AE11" t="s">
        <v>868</v>
      </c>
      <c r="AF11" t="s">
        <v>869</v>
      </c>
      <c r="AJ11" s="305" t="s">
        <v>748</v>
      </c>
      <c r="AK11" s="305" t="s">
        <v>748</v>
      </c>
      <c r="AM11" t="s">
        <v>905</v>
      </c>
      <c r="AP11" t="s">
        <v>868</v>
      </c>
      <c r="AQ11" s="305" t="s">
        <v>748</v>
      </c>
      <c r="AU11" t="s">
        <v>906</v>
      </c>
      <c r="AX11" t="s">
        <v>868</v>
      </c>
      <c r="AZ11" t="s">
        <v>878</v>
      </c>
      <c r="BB11" t="s">
        <v>878</v>
      </c>
    </row>
    <row r="12" spans="1:61" x14ac:dyDescent="0.3">
      <c r="A12">
        <v>11</v>
      </c>
      <c r="B12" t="s">
        <v>467</v>
      </c>
      <c r="C12" s="305" t="s">
        <v>748</v>
      </c>
      <c r="D12" s="305" t="s">
        <v>748</v>
      </c>
      <c r="F12" t="s">
        <v>875</v>
      </c>
      <c r="H12" s="305" t="s">
        <v>748</v>
      </c>
      <c r="J12" t="s">
        <v>878</v>
      </c>
      <c r="M12" t="s">
        <v>876</v>
      </c>
      <c r="Q12" t="s">
        <v>887</v>
      </c>
      <c r="S12" t="s">
        <v>874</v>
      </c>
      <c r="T12" t="s">
        <v>887</v>
      </c>
      <c r="AA12" t="s">
        <v>876</v>
      </c>
      <c r="AE12" t="s">
        <v>878</v>
      </c>
      <c r="AF12" t="s">
        <v>875</v>
      </c>
      <c r="AM12" t="s">
        <v>907</v>
      </c>
      <c r="AP12" t="s">
        <v>878</v>
      </c>
      <c r="AU12" t="s">
        <v>876</v>
      </c>
      <c r="AX12" t="s">
        <v>878</v>
      </c>
      <c r="AZ12" s="305" t="s">
        <v>748</v>
      </c>
      <c r="BB12" s="305" t="s">
        <v>748</v>
      </c>
    </row>
    <row r="13" spans="1:61" x14ac:dyDescent="0.3">
      <c r="A13">
        <v>12</v>
      </c>
      <c r="B13" t="s">
        <v>876</v>
      </c>
      <c r="F13" t="s">
        <v>887</v>
      </c>
      <c r="J13" s="305" t="s">
        <v>748</v>
      </c>
      <c r="M13" t="s">
        <v>869</v>
      </c>
      <c r="Q13" t="s">
        <v>357</v>
      </c>
      <c r="S13" t="s">
        <v>768</v>
      </c>
      <c r="T13" t="s">
        <v>357</v>
      </c>
      <c r="AA13" t="s">
        <v>869</v>
      </c>
      <c r="AE13" s="305" t="s">
        <v>748</v>
      </c>
      <c r="AF13" t="s">
        <v>887</v>
      </c>
      <c r="AM13" t="s">
        <v>906</v>
      </c>
      <c r="AP13" s="305" t="s">
        <v>748</v>
      </c>
      <c r="AU13" t="s">
        <v>869</v>
      </c>
      <c r="AX13" s="305" t="s">
        <v>748</v>
      </c>
    </row>
    <row r="14" spans="1:61" x14ac:dyDescent="0.3">
      <c r="A14">
        <v>13</v>
      </c>
      <c r="B14" t="s">
        <v>908</v>
      </c>
      <c r="F14" t="s">
        <v>909</v>
      </c>
      <c r="M14" t="s">
        <v>910</v>
      </c>
      <c r="Q14" t="s">
        <v>868</v>
      </c>
      <c r="S14" t="s">
        <v>885</v>
      </c>
      <c r="T14" t="s">
        <v>868</v>
      </c>
      <c r="AA14" t="s">
        <v>875</v>
      </c>
      <c r="AF14" t="s">
        <v>357</v>
      </c>
      <c r="AM14" t="s">
        <v>876</v>
      </c>
      <c r="AU14" t="s">
        <v>875</v>
      </c>
    </row>
    <row r="15" spans="1:61" x14ac:dyDescent="0.3">
      <c r="A15">
        <v>14</v>
      </c>
      <c r="B15" t="s">
        <v>869</v>
      </c>
      <c r="F15" t="s">
        <v>357</v>
      </c>
      <c r="M15" t="s">
        <v>875</v>
      </c>
      <c r="Q15" t="s">
        <v>878</v>
      </c>
      <c r="S15" t="s">
        <v>875</v>
      </c>
      <c r="T15" t="s">
        <v>878</v>
      </c>
      <c r="AA15" t="s">
        <v>887</v>
      </c>
      <c r="AF15" t="s">
        <v>911</v>
      </c>
      <c r="AM15" t="s">
        <v>869</v>
      </c>
      <c r="AU15" t="s">
        <v>887</v>
      </c>
    </row>
    <row r="16" spans="1:61" x14ac:dyDescent="0.3">
      <c r="A16">
        <v>15</v>
      </c>
      <c r="B16" t="s">
        <v>875</v>
      </c>
      <c r="F16" t="s">
        <v>868</v>
      </c>
      <c r="M16" t="s">
        <v>887</v>
      </c>
      <c r="Q16" s="305" t="s">
        <v>748</v>
      </c>
      <c r="S16" t="s">
        <v>887</v>
      </c>
      <c r="T16" s="305" t="s">
        <v>748</v>
      </c>
      <c r="AA16" t="s">
        <v>909</v>
      </c>
      <c r="AF16" t="s">
        <v>868</v>
      </c>
      <c r="AM16" t="s">
        <v>910</v>
      </c>
      <c r="AU16" t="s">
        <v>909</v>
      </c>
    </row>
    <row r="17" spans="1:47" x14ac:dyDescent="0.3">
      <c r="A17">
        <v>16</v>
      </c>
      <c r="B17" t="s">
        <v>887</v>
      </c>
      <c r="F17" t="s">
        <v>878</v>
      </c>
      <c r="M17" t="s">
        <v>912</v>
      </c>
      <c r="S17" t="s">
        <v>357</v>
      </c>
      <c r="AA17" t="s">
        <v>357</v>
      </c>
      <c r="AF17" t="s">
        <v>878</v>
      </c>
      <c r="AM17" t="s">
        <v>875</v>
      </c>
      <c r="AU17" t="s">
        <v>357</v>
      </c>
    </row>
    <row r="18" spans="1:47" x14ac:dyDescent="0.3">
      <c r="A18">
        <v>17</v>
      </c>
      <c r="B18" t="s">
        <v>357</v>
      </c>
      <c r="F18" s="305" t="s">
        <v>748</v>
      </c>
      <c r="M18" t="s">
        <v>909</v>
      </c>
      <c r="S18" t="s">
        <v>868</v>
      </c>
      <c r="AA18" t="s">
        <v>868</v>
      </c>
      <c r="AF18" s="305" t="s">
        <v>748</v>
      </c>
      <c r="AM18" t="s">
        <v>913</v>
      </c>
      <c r="AU18" t="s">
        <v>868</v>
      </c>
    </row>
    <row r="19" spans="1:47" x14ac:dyDescent="0.3">
      <c r="A19">
        <v>18</v>
      </c>
      <c r="B19" t="s">
        <v>868</v>
      </c>
      <c r="M19" t="s">
        <v>357</v>
      </c>
      <c r="S19" t="s">
        <v>878</v>
      </c>
      <c r="AA19" t="s">
        <v>878</v>
      </c>
      <c r="AM19" t="s">
        <v>887</v>
      </c>
      <c r="AU19" t="s">
        <v>878</v>
      </c>
    </row>
    <row r="20" spans="1:47" x14ac:dyDescent="0.3">
      <c r="A20">
        <v>19</v>
      </c>
      <c r="B20" t="s">
        <v>878</v>
      </c>
      <c r="M20" t="s">
        <v>868</v>
      </c>
      <c r="S20" s="305" t="s">
        <v>748</v>
      </c>
      <c r="AA20" s="305" t="s">
        <v>748</v>
      </c>
      <c r="AM20" t="s">
        <v>357</v>
      </c>
      <c r="AU20" s="305" t="s">
        <v>748</v>
      </c>
    </row>
    <row r="21" spans="1:47" x14ac:dyDescent="0.3">
      <c r="A21">
        <v>20</v>
      </c>
      <c r="B21" s="305" t="s">
        <v>748</v>
      </c>
      <c r="M21" t="s">
        <v>878</v>
      </c>
      <c r="AM21" t="s">
        <v>868</v>
      </c>
    </row>
    <row r="22" spans="1:47" x14ac:dyDescent="0.3">
      <c r="A22">
        <v>21</v>
      </c>
      <c r="M22" s="305" t="s">
        <v>748</v>
      </c>
      <c r="AM22" t="s">
        <v>878</v>
      </c>
    </row>
    <row r="23" spans="1:47" x14ac:dyDescent="0.3">
      <c r="AM23" s="305" t="s">
        <v>748</v>
      </c>
    </row>
    <row r="35" spans="1:60" s="2" customFormat="1" ht="15" thickBo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F491-0A93-4238-A720-B7F8F8E9C048}">
  <sheetPr codeName="Sheet3"/>
  <dimension ref="A1:BE35"/>
  <sheetViews>
    <sheetView workbookViewId="0">
      <selection activeCell="K10" sqref="K10"/>
    </sheetView>
  </sheetViews>
  <sheetFormatPr defaultColWidth="8.6640625" defaultRowHeight="14.4" x14ac:dyDescent="0.3"/>
  <cols>
    <col min="3" max="3" width="17.6640625" customWidth="1"/>
    <col min="4" max="5" width="9.109375" customWidth="1"/>
    <col min="6" max="6" width="11.109375" customWidth="1"/>
    <col min="7" max="57" width="9.109375" customWidth="1"/>
  </cols>
  <sheetData>
    <row r="1" spans="1:57" s="157" customFormat="1" ht="89.25" customHeight="1" x14ac:dyDescent="0.3">
      <c r="A1" s="157" t="s">
        <v>356</v>
      </c>
      <c r="B1" s="157" t="s">
        <v>506</v>
      </c>
      <c r="C1" s="157" t="s">
        <v>616</v>
      </c>
      <c r="D1" s="157" t="s">
        <v>458</v>
      </c>
      <c r="E1" s="157" t="s">
        <v>489</v>
      </c>
      <c r="F1" s="157" t="s">
        <v>497</v>
      </c>
      <c r="G1" s="157" t="s">
        <v>419</v>
      </c>
      <c r="H1" s="157" t="s">
        <v>426</v>
      </c>
      <c r="I1" s="157" t="s">
        <v>490</v>
      </c>
      <c r="J1" s="157" t="s">
        <v>622</v>
      </c>
      <c r="K1" s="157" t="s">
        <v>491</v>
      </c>
      <c r="L1" s="157" t="s">
        <v>446</v>
      </c>
      <c r="M1" s="157" t="s">
        <v>447</v>
      </c>
      <c r="N1" s="157" t="s">
        <v>424</v>
      </c>
      <c r="O1" s="157" t="s">
        <v>461</v>
      </c>
      <c r="P1" s="157" t="s">
        <v>487</v>
      </c>
      <c r="Q1" s="157" t="s">
        <v>432</v>
      </c>
      <c r="R1" s="157" t="s">
        <v>651</v>
      </c>
      <c r="S1" s="157" t="s">
        <v>442</v>
      </c>
      <c r="T1" s="157" t="s">
        <v>646</v>
      </c>
      <c r="U1" s="157" t="s">
        <v>610</v>
      </c>
      <c r="V1" s="157" t="s">
        <v>652</v>
      </c>
      <c r="W1" s="157" t="s">
        <v>914</v>
      </c>
      <c r="X1" s="157" t="s">
        <v>482</v>
      </c>
      <c r="Y1" s="157" t="s">
        <v>465</v>
      </c>
      <c r="Z1" s="157" t="s">
        <v>450</v>
      </c>
      <c r="AA1" s="157" t="s">
        <v>448</v>
      </c>
      <c r="AB1" s="157" t="s">
        <v>471</v>
      </c>
      <c r="AC1" s="157" t="s">
        <v>517</v>
      </c>
      <c r="AD1" s="157" t="s">
        <v>453</v>
      </c>
      <c r="AE1" s="157" t="s">
        <v>494</v>
      </c>
      <c r="AF1" s="157" t="s">
        <v>470</v>
      </c>
      <c r="AG1" s="157" t="s">
        <v>650</v>
      </c>
      <c r="AH1" s="157" t="s">
        <v>441</v>
      </c>
      <c r="AI1" s="157" t="s">
        <v>428</v>
      </c>
      <c r="AJ1" s="157" t="s">
        <v>429</v>
      </c>
      <c r="AK1" s="157" t="s">
        <v>438</v>
      </c>
      <c r="AL1" s="157" t="s">
        <v>647</v>
      </c>
      <c r="AM1" s="157" t="s">
        <v>422</v>
      </c>
      <c r="AN1" s="157" t="s">
        <v>542</v>
      </c>
      <c r="AO1" s="157" t="s">
        <v>418</v>
      </c>
      <c r="AP1" s="157" t="s">
        <v>486</v>
      </c>
      <c r="AQ1" s="157" t="s">
        <v>520</v>
      </c>
      <c r="AR1" s="157" t="s">
        <v>466</v>
      </c>
      <c r="AS1" s="157" t="s">
        <v>915</v>
      </c>
      <c r="AT1" s="157" t="s">
        <v>483</v>
      </c>
      <c r="AU1" s="157" t="s">
        <v>417</v>
      </c>
      <c r="AV1" s="157" t="s">
        <v>644</v>
      </c>
      <c r="AW1" s="157" t="s">
        <v>562</v>
      </c>
      <c r="AX1" s="157" t="s">
        <v>423</v>
      </c>
      <c r="AY1" s="157" t="s">
        <v>435</v>
      </c>
      <c r="AZ1" s="157" t="s">
        <v>436</v>
      </c>
      <c r="BA1" s="157" t="s">
        <v>649</v>
      </c>
      <c r="BB1" s="157" t="s">
        <v>565</v>
      </c>
      <c r="BC1" s="157" t="s">
        <v>648</v>
      </c>
      <c r="BD1" s="157" t="s">
        <v>464</v>
      </c>
      <c r="BE1" s="157" t="s">
        <v>916</v>
      </c>
    </row>
    <row r="2" spans="1:57" x14ac:dyDescent="0.3">
      <c r="A2" t="s">
        <v>917</v>
      </c>
      <c r="B2" t="s">
        <v>918</v>
      </c>
      <c r="C2" t="s">
        <v>917</v>
      </c>
      <c r="D2" t="s">
        <v>919</v>
      </c>
      <c r="E2" t="s">
        <v>919</v>
      </c>
      <c r="F2" t="s">
        <v>918</v>
      </c>
      <c r="G2" t="s">
        <v>919</v>
      </c>
      <c r="H2" t="s">
        <v>918</v>
      </c>
      <c r="I2" t="s">
        <v>919</v>
      </c>
      <c r="J2" t="s">
        <v>919</v>
      </c>
      <c r="K2" t="s">
        <v>920</v>
      </c>
      <c r="L2" t="s">
        <v>921</v>
      </c>
      <c r="M2" t="s">
        <v>919</v>
      </c>
      <c r="N2" t="s">
        <v>922</v>
      </c>
      <c r="O2" t="s">
        <v>919</v>
      </c>
      <c r="P2" t="s">
        <v>918</v>
      </c>
      <c r="Q2" t="s">
        <v>922</v>
      </c>
      <c r="R2" t="s">
        <v>919</v>
      </c>
      <c r="S2" t="s">
        <v>919</v>
      </c>
      <c r="T2" t="s">
        <v>919</v>
      </c>
      <c r="U2" t="s">
        <v>696</v>
      </c>
      <c r="V2" t="s">
        <v>696</v>
      </c>
      <c r="W2" t="s">
        <v>919</v>
      </c>
      <c r="X2" t="s">
        <v>919</v>
      </c>
      <c r="Y2" t="s">
        <v>696</v>
      </c>
      <c r="Z2" t="s">
        <v>919</v>
      </c>
      <c r="AA2" t="s">
        <v>922</v>
      </c>
      <c r="AB2" t="s">
        <v>696</v>
      </c>
      <c r="AC2" t="s">
        <v>919</v>
      </c>
      <c r="AD2" t="s">
        <v>696</v>
      </c>
      <c r="AE2" t="s">
        <v>696</v>
      </c>
      <c r="AF2" t="s">
        <v>919</v>
      </c>
      <c r="AG2" t="s">
        <v>696</v>
      </c>
      <c r="AH2" t="s">
        <v>696</v>
      </c>
      <c r="AI2" t="s">
        <v>696</v>
      </c>
      <c r="AJ2" t="s">
        <v>696</v>
      </c>
      <c r="AK2" t="s">
        <v>919</v>
      </c>
      <c r="AL2" t="s">
        <v>696</v>
      </c>
      <c r="AM2" t="s">
        <v>922</v>
      </c>
      <c r="AN2" t="s">
        <v>696</v>
      </c>
      <c r="AO2" t="s">
        <v>696</v>
      </c>
      <c r="AP2" t="s">
        <v>919</v>
      </c>
      <c r="AQ2" t="s">
        <v>919</v>
      </c>
      <c r="AR2" t="s">
        <v>918</v>
      </c>
      <c r="AS2" t="s">
        <v>922</v>
      </c>
      <c r="AT2" t="s">
        <v>696</v>
      </c>
      <c r="AU2" t="s">
        <v>696</v>
      </c>
      <c r="AV2" t="s">
        <v>696</v>
      </c>
      <c r="AW2" t="s">
        <v>918</v>
      </c>
      <c r="AX2" t="s">
        <v>918</v>
      </c>
      <c r="AY2" t="s">
        <v>918</v>
      </c>
      <c r="AZ2" t="s">
        <v>918</v>
      </c>
      <c r="BA2" t="s">
        <v>918</v>
      </c>
      <c r="BB2" t="s">
        <v>918</v>
      </c>
      <c r="BC2" t="s">
        <v>696</v>
      </c>
      <c r="BD2" t="s">
        <v>922</v>
      </c>
      <c r="BE2" t="s">
        <v>696</v>
      </c>
    </row>
    <row r="3" spans="1:57" x14ac:dyDescent="0.3">
      <c r="A3" t="s">
        <v>923</v>
      </c>
      <c r="B3" t="s">
        <v>924</v>
      </c>
      <c r="C3" t="s">
        <v>923</v>
      </c>
      <c r="F3" t="s">
        <v>924</v>
      </c>
      <c r="H3" t="s">
        <v>924</v>
      </c>
      <c r="L3" t="s">
        <v>922</v>
      </c>
      <c r="N3" t="s">
        <v>921</v>
      </c>
      <c r="P3" t="s">
        <v>921</v>
      </c>
      <c r="Q3" t="s">
        <v>921</v>
      </c>
      <c r="AA3" t="s">
        <v>921</v>
      </c>
      <c r="AM3" t="s">
        <v>921</v>
      </c>
      <c r="AR3" t="s">
        <v>922</v>
      </c>
      <c r="AS3" t="s">
        <v>921</v>
      </c>
      <c r="AW3" t="s">
        <v>924</v>
      </c>
      <c r="AX3" t="s">
        <v>924</v>
      </c>
      <c r="AY3" t="s">
        <v>921</v>
      </c>
      <c r="AZ3" t="s">
        <v>921</v>
      </c>
      <c r="BA3" t="s">
        <v>921</v>
      </c>
      <c r="BB3" t="s">
        <v>924</v>
      </c>
      <c r="BD3" t="s">
        <v>921</v>
      </c>
    </row>
    <row r="4" spans="1:57" x14ac:dyDescent="0.3">
      <c r="A4" t="s">
        <v>925</v>
      </c>
      <c r="B4" t="s">
        <v>922</v>
      </c>
      <c r="F4" t="s">
        <v>922</v>
      </c>
      <c r="H4" t="s">
        <v>922</v>
      </c>
      <c r="L4" t="s">
        <v>918</v>
      </c>
      <c r="P4" t="s">
        <v>922</v>
      </c>
      <c r="Q4" t="s">
        <v>924</v>
      </c>
      <c r="AA4" t="s">
        <v>926</v>
      </c>
      <c r="AR4" t="s">
        <v>921</v>
      </c>
      <c r="AS4" t="s">
        <v>926</v>
      </c>
      <c r="AW4" t="s">
        <v>922</v>
      </c>
      <c r="AX4" t="s">
        <v>922</v>
      </c>
      <c r="AY4" t="s">
        <v>924</v>
      </c>
      <c r="AZ4" t="s">
        <v>924</v>
      </c>
      <c r="BA4" t="s">
        <v>924</v>
      </c>
      <c r="BB4" t="s">
        <v>922</v>
      </c>
      <c r="BD4" t="s">
        <v>926</v>
      </c>
    </row>
    <row r="5" spans="1:57" x14ac:dyDescent="0.3">
      <c r="A5" t="s">
        <v>927</v>
      </c>
      <c r="B5" t="s">
        <v>921</v>
      </c>
      <c r="F5" t="s">
        <v>921</v>
      </c>
      <c r="H5" t="s">
        <v>921</v>
      </c>
      <c r="L5" t="s">
        <v>924</v>
      </c>
      <c r="P5" t="s">
        <v>924</v>
      </c>
      <c r="AW5" t="s">
        <v>921</v>
      </c>
      <c r="AX5" t="s">
        <v>921</v>
      </c>
      <c r="AY5" t="s">
        <v>922</v>
      </c>
      <c r="AZ5" t="s">
        <v>922</v>
      </c>
      <c r="BA5" t="s">
        <v>922</v>
      </c>
      <c r="BB5" t="s">
        <v>921</v>
      </c>
    </row>
    <row r="6" spans="1:57" x14ac:dyDescent="0.3">
      <c r="B6" t="s">
        <v>928</v>
      </c>
    </row>
    <row r="7" spans="1:57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35" s="2" customFormat="1" ht="15" thickBot="1" x14ac:dyDescent="0.3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Y41"/>
  <sheetViews>
    <sheetView workbookViewId="0">
      <pane xSplit="1" ySplit="1" topLeftCell="J2" activePane="bottomRight" state="frozen"/>
      <selection pane="topRight" activeCell="G8" sqref="G8:M35"/>
      <selection pane="bottomLeft" activeCell="G8" sqref="G8:M35"/>
      <selection pane="bottomRight" activeCell="G8" sqref="G8:M35"/>
    </sheetView>
  </sheetViews>
  <sheetFormatPr defaultColWidth="12.44140625" defaultRowHeight="14.4" x14ac:dyDescent="0.3"/>
  <cols>
    <col min="6" max="6" width="30.44140625" bestFit="1" customWidth="1"/>
  </cols>
  <sheetData>
    <row r="1" spans="1:25" s="47" customFormat="1" ht="72" customHeight="1" x14ac:dyDescent="0.3">
      <c r="B1" s="46" t="s">
        <v>929</v>
      </c>
      <c r="C1" s="46" t="s">
        <v>930</v>
      </c>
      <c r="D1" s="46" t="s">
        <v>931</v>
      </c>
      <c r="E1" s="46" t="s">
        <v>932</v>
      </c>
      <c r="F1" s="46" t="s">
        <v>933</v>
      </c>
      <c r="G1" s="46" t="s">
        <v>934</v>
      </c>
      <c r="H1" s="46" t="s">
        <v>935</v>
      </c>
      <c r="I1" s="46" t="s">
        <v>936</v>
      </c>
      <c r="J1" s="46" t="s">
        <v>937</v>
      </c>
      <c r="K1" s="46" t="s">
        <v>938</v>
      </c>
      <c r="L1" s="46" t="s">
        <v>939</v>
      </c>
      <c r="M1" s="46" t="s">
        <v>940</v>
      </c>
      <c r="N1" s="46" t="s">
        <v>941</v>
      </c>
      <c r="O1" s="46" t="s">
        <v>942</v>
      </c>
      <c r="P1" s="46" t="s">
        <v>943</v>
      </c>
      <c r="Q1" s="46" t="s">
        <v>944</v>
      </c>
      <c r="R1" s="46" t="s">
        <v>945</v>
      </c>
      <c r="S1" s="46" t="s">
        <v>946</v>
      </c>
      <c r="T1" s="46" t="s">
        <v>947</v>
      </c>
      <c r="U1" s="46" t="s">
        <v>948</v>
      </c>
      <c r="V1" s="308" t="s">
        <v>949</v>
      </c>
      <c r="W1" s="308" t="s">
        <v>950</v>
      </c>
      <c r="X1" s="308" t="s">
        <v>951</v>
      </c>
      <c r="Y1" s="305" t="s">
        <v>748</v>
      </c>
    </row>
    <row r="2" spans="1:25" x14ac:dyDescent="0.3">
      <c r="A2">
        <v>1</v>
      </c>
      <c r="B2" t="s">
        <v>638</v>
      </c>
      <c r="C2" t="s">
        <v>952</v>
      </c>
      <c r="D2" t="s">
        <v>953</v>
      </c>
      <c r="E2" t="s">
        <v>954</v>
      </c>
      <c r="F2" t="s">
        <v>955</v>
      </c>
      <c r="G2" t="s">
        <v>638</v>
      </c>
      <c r="H2" t="s">
        <v>956</v>
      </c>
      <c r="I2" t="s">
        <v>957</v>
      </c>
      <c r="J2" t="s">
        <v>957</v>
      </c>
      <c r="K2" t="s">
        <v>958</v>
      </c>
      <c r="L2" t="s">
        <v>638</v>
      </c>
      <c r="M2" t="s">
        <v>959</v>
      </c>
      <c r="N2" t="s">
        <v>638</v>
      </c>
      <c r="O2" t="s">
        <v>638</v>
      </c>
      <c r="P2" t="s">
        <v>960</v>
      </c>
      <c r="Q2" t="s">
        <v>961</v>
      </c>
      <c r="R2" t="s">
        <v>962</v>
      </c>
      <c r="S2" t="s">
        <v>638</v>
      </c>
      <c r="T2" t="s">
        <v>963</v>
      </c>
      <c r="U2" t="s">
        <v>964</v>
      </c>
      <c r="V2" t="s">
        <v>638</v>
      </c>
      <c r="W2" t="s">
        <v>965</v>
      </c>
      <c r="X2" t="s">
        <v>952</v>
      </c>
    </row>
    <row r="3" spans="1:25" x14ac:dyDescent="0.3">
      <c r="A3">
        <v>2</v>
      </c>
      <c r="B3" t="s">
        <v>966</v>
      </c>
      <c r="C3" s="305" t="s">
        <v>748</v>
      </c>
      <c r="D3" s="305" t="s">
        <v>748</v>
      </c>
      <c r="E3" s="305" t="s">
        <v>748</v>
      </c>
      <c r="F3" t="s">
        <v>638</v>
      </c>
      <c r="G3" t="s">
        <v>967</v>
      </c>
      <c r="H3" t="s">
        <v>968</v>
      </c>
      <c r="I3" t="s">
        <v>969</v>
      </c>
      <c r="J3" t="s">
        <v>956</v>
      </c>
      <c r="K3" t="s">
        <v>959</v>
      </c>
      <c r="L3" t="s">
        <v>970</v>
      </c>
      <c r="M3" t="s">
        <v>971</v>
      </c>
      <c r="O3" t="s">
        <v>972</v>
      </c>
      <c r="P3" t="s">
        <v>973</v>
      </c>
      <c r="Q3" t="s">
        <v>974</v>
      </c>
      <c r="R3" t="s">
        <v>975</v>
      </c>
      <c r="S3" t="s">
        <v>970</v>
      </c>
      <c r="T3" s="305" t="s">
        <v>748</v>
      </c>
      <c r="U3" t="s">
        <v>976</v>
      </c>
      <c r="V3" t="s">
        <v>977</v>
      </c>
      <c r="W3" s="305" t="s">
        <v>748</v>
      </c>
      <c r="X3" s="305" t="s">
        <v>748</v>
      </c>
    </row>
    <row r="4" spans="1:25" x14ac:dyDescent="0.3">
      <c r="A4">
        <v>3</v>
      </c>
      <c r="B4" t="s">
        <v>978</v>
      </c>
      <c r="F4" t="s">
        <v>979</v>
      </c>
      <c r="G4" s="305" t="s">
        <v>748</v>
      </c>
      <c r="H4" t="s">
        <v>975</v>
      </c>
      <c r="I4" t="s">
        <v>980</v>
      </c>
      <c r="J4" t="s">
        <v>981</v>
      </c>
      <c r="K4" s="305" t="s">
        <v>748</v>
      </c>
      <c r="L4" t="s">
        <v>982</v>
      </c>
      <c r="M4" s="305" t="s">
        <v>748</v>
      </c>
      <c r="N4" s="305" t="s">
        <v>748</v>
      </c>
      <c r="O4" s="305" t="s">
        <v>748</v>
      </c>
      <c r="P4" s="305" t="s">
        <v>748</v>
      </c>
      <c r="Q4" t="s">
        <v>983</v>
      </c>
      <c r="R4" t="s">
        <v>984</v>
      </c>
      <c r="S4" t="s">
        <v>966</v>
      </c>
      <c r="U4" t="s">
        <v>985</v>
      </c>
      <c r="V4" t="s">
        <v>986</v>
      </c>
    </row>
    <row r="5" spans="1:25" x14ac:dyDescent="0.3">
      <c r="A5">
        <v>4</v>
      </c>
      <c r="B5" t="s">
        <v>987</v>
      </c>
      <c r="F5" t="s">
        <v>988</v>
      </c>
      <c r="H5" t="s">
        <v>989</v>
      </c>
      <c r="I5" t="s">
        <v>990</v>
      </c>
      <c r="J5" t="s">
        <v>991</v>
      </c>
      <c r="L5" t="s">
        <v>992</v>
      </c>
      <c r="Q5" t="s">
        <v>638</v>
      </c>
      <c r="R5" t="s">
        <v>989</v>
      </c>
      <c r="S5" t="s">
        <v>982</v>
      </c>
      <c r="U5" s="305" t="s">
        <v>748</v>
      </c>
      <c r="V5" t="s">
        <v>993</v>
      </c>
    </row>
    <row r="6" spans="1:25" x14ac:dyDescent="0.3">
      <c r="A6">
        <v>5</v>
      </c>
      <c r="B6" t="s">
        <v>986</v>
      </c>
      <c r="F6" t="s">
        <v>994</v>
      </c>
      <c r="H6" s="305" t="s">
        <v>748</v>
      </c>
      <c r="I6" t="s">
        <v>995</v>
      </c>
      <c r="J6" t="s">
        <v>996</v>
      </c>
      <c r="L6" t="s">
        <v>997</v>
      </c>
      <c r="Q6" t="s">
        <v>994</v>
      </c>
      <c r="R6" t="s">
        <v>960</v>
      </c>
      <c r="S6" t="s">
        <v>998</v>
      </c>
      <c r="V6" t="s">
        <v>971</v>
      </c>
    </row>
    <row r="7" spans="1:25" x14ac:dyDescent="0.3">
      <c r="A7">
        <v>6</v>
      </c>
      <c r="B7" t="s">
        <v>997</v>
      </c>
      <c r="F7" t="s">
        <v>999</v>
      </c>
      <c r="I7" s="305" t="s">
        <v>748</v>
      </c>
      <c r="J7" t="s">
        <v>989</v>
      </c>
      <c r="L7" t="s">
        <v>1000</v>
      </c>
      <c r="Q7" t="s">
        <v>1001</v>
      </c>
      <c r="R7" s="305" t="s">
        <v>748</v>
      </c>
      <c r="S7" t="s">
        <v>986</v>
      </c>
      <c r="V7" t="s">
        <v>1002</v>
      </c>
    </row>
    <row r="8" spans="1:25" x14ac:dyDescent="0.3">
      <c r="A8">
        <v>7</v>
      </c>
      <c r="B8" t="s">
        <v>1000</v>
      </c>
      <c r="F8" t="s">
        <v>1003</v>
      </c>
      <c r="J8" t="s">
        <v>969</v>
      </c>
      <c r="L8" t="s">
        <v>1004</v>
      </c>
      <c r="Q8" t="s">
        <v>987</v>
      </c>
      <c r="S8" t="s">
        <v>1005</v>
      </c>
      <c r="V8" t="s">
        <v>1006</v>
      </c>
    </row>
    <row r="9" spans="1:25" x14ac:dyDescent="0.3">
      <c r="A9">
        <v>8</v>
      </c>
      <c r="B9" t="s">
        <v>959</v>
      </c>
      <c r="F9" t="s">
        <v>1007</v>
      </c>
      <c r="J9" t="s">
        <v>1008</v>
      </c>
      <c r="K9" s="305"/>
      <c r="L9" t="s">
        <v>959</v>
      </c>
      <c r="Q9" t="s">
        <v>982</v>
      </c>
      <c r="S9" t="s">
        <v>1009</v>
      </c>
      <c r="V9" t="s">
        <v>1010</v>
      </c>
    </row>
    <row r="10" spans="1:25" x14ac:dyDescent="0.3">
      <c r="A10">
        <v>9</v>
      </c>
      <c r="B10" t="s">
        <v>1011</v>
      </c>
      <c r="F10" t="s">
        <v>1012</v>
      </c>
      <c r="J10" s="305" t="s">
        <v>748</v>
      </c>
      <c r="L10" t="s">
        <v>971</v>
      </c>
      <c r="Q10" t="s">
        <v>1013</v>
      </c>
      <c r="S10" t="s">
        <v>997</v>
      </c>
      <c r="V10" t="s">
        <v>1014</v>
      </c>
    </row>
    <row r="11" spans="1:25" x14ac:dyDescent="0.3">
      <c r="A11">
        <v>10</v>
      </c>
      <c r="B11" t="s">
        <v>971</v>
      </c>
      <c r="F11" t="s">
        <v>987</v>
      </c>
      <c r="L11" t="s">
        <v>990</v>
      </c>
      <c r="Q11" t="s">
        <v>986</v>
      </c>
      <c r="S11" t="s">
        <v>1015</v>
      </c>
      <c r="V11" s="305" t="s">
        <v>748</v>
      </c>
    </row>
    <row r="12" spans="1:25" x14ac:dyDescent="0.3">
      <c r="A12">
        <v>11</v>
      </c>
      <c r="B12" t="s">
        <v>1016</v>
      </c>
      <c r="F12" t="s">
        <v>982</v>
      </c>
      <c r="L12" t="s">
        <v>1017</v>
      </c>
      <c r="Q12" t="s">
        <v>1018</v>
      </c>
      <c r="S12" t="s">
        <v>1019</v>
      </c>
    </row>
    <row r="13" spans="1:25" x14ac:dyDescent="0.3">
      <c r="A13">
        <v>12</v>
      </c>
      <c r="B13" t="s">
        <v>1017</v>
      </c>
      <c r="F13" t="s">
        <v>1020</v>
      </c>
      <c r="L13" s="305" t="s">
        <v>748</v>
      </c>
      <c r="Q13" t="s">
        <v>1021</v>
      </c>
      <c r="S13" t="s">
        <v>959</v>
      </c>
    </row>
    <row r="14" spans="1:25" x14ac:dyDescent="0.3">
      <c r="A14">
        <v>13</v>
      </c>
      <c r="B14" s="305" t="s">
        <v>748</v>
      </c>
      <c r="F14" t="s">
        <v>1013</v>
      </c>
      <c r="Q14" t="s">
        <v>997</v>
      </c>
      <c r="S14" t="s">
        <v>963</v>
      </c>
    </row>
    <row r="15" spans="1:25" x14ac:dyDescent="0.3">
      <c r="A15">
        <v>14</v>
      </c>
      <c r="F15" t="s">
        <v>986</v>
      </c>
      <c r="Q15" t="s">
        <v>984</v>
      </c>
      <c r="S15" t="s">
        <v>1022</v>
      </c>
    </row>
    <row r="16" spans="1:25" x14ac:dyDescent="0.3">
      <c r="A16">
        <v>15</v>
      </c>
      <c r="F16" t="s">
        <v>1023</v>
      </c>
      <c r="Q16" t="s">
        <v>989</v>
      </c>
      <c r="S16" t="s">
        <v>1024</v>
      </c>
    </row>
    <row r="17" spans="1:19" x14ac:dyDescent="0.3">
      <c r="A17">
        <v>16</v>
      </c>
      <c r="F17" t="s">
        <v>1005</v>
      </c>
      <c r="Q17" t="s">
        <v>1015</v>
      </c>
      <c r="S17" t="s">
        <v>971</v>
      </c>
    </row>
    <row r="18" spans="1:19" x14ac:dyDescent="0.3">
      <c r="A18">
        <v>17</v>
      </c>
      <c r="F18" t="s">
        <v>1025</v>
      </c>
      <c r="Q18" t="s">
        <v>1026</v>
      </c>
      <c r="S18" t="s">
        <v>990</v>
      </c>
    </row>
    <row r="19" spans="1:19" x14ac:dyDescent="0.3">
      <c r="A19">
        <v>18</v>
      </c>
      <c r="F19" t="s">
        <v>996</v>
      </c>
      <c r="Q19" t="s">
        <v>1000</v>
      </c>
      <c r="S19" t="s">
        <v>1027</v>
      </c>
    </row>
    <row r="20" spans="1:19" x14ac:dyDescent="0.3">
      <c r="A20">
        <v>19</v>
      </c>
      <c r="F20" t="s">
        <v>984</v>
      </c>
      <c r="Q20" t="s">
        <v>969</v>
      </c>
      <c r="S20" s="305" t="s">
        <v>748</v>
      </c>
    </row>
    <row r="21" spans="1:19" x14ac:dyDescent="0.3">
      <c r="A21">
        <v>20</v>
      </c>
      <c r="F21" t="s">
        <v>1028</v>
      </c>
      <c r="Q21" t="s">
        <v>1029</v>
      </c>
    </row>
    <row r="22" spans="1:19" x14ac:dyDescent="0.3">
      <c r="A22">
        <v>21</v>
      </c>
      <c r="F22" t="s">
        <v>989</v>
      </c>
      <c r="Q22" t="s">
        <v>1030</v>
      </c>
    </row>
    <row r="23" spans="1:19" x14ac:dyDescent="0.3">
      <c r="A23">
        <v>22</v>
      </c>
      <c r="F23" t="s">
        <v>1026</v>
      </c>
      <c r="Q23" t="s">
        <v>971</v>
      </c>
    </row>
    <row r="24" spans="1:19" x14ac:dyDescent="0.3">
      <c r="A24">
        <v>23</v>
      </c>
      <c r="F24" t="s">
        <v>1031</v>
      </c>
      <c r="Q24" t="s">
        <v>1017</v>
      </c>
    </row>
    <row r="25" spans="1:19" x14ac:dyDescent="0.3">
      <c r="A25">
        <v>24</v>
      </c>
      <c r="F25" t="s">
        <v>1000</v>
      </c>
      <c r="Q25" t="s">
        <v>1032</v>
      </c>
    </row>
    <row r="26" spans="1:19" x14ac:dyDescent="0.3">
      <c r="A26">
        <v>25</v>
      </c>
      <c r="F26" t="s">
        <v>1033</v>
      </c>
      <c r="Q26" s="305" t="s">
        <v>748</v>
      </c>
    </row>
    <row r="27" spans="1:19" x14ac:dyDescent="0.3">
      <c r="A27">
        <v>26</v>
      </c>
      <c r="F27" t="s">
        <v>969</v>
      </c>
    </row>
    <row r="28" spans="1:19" x14ac:dyDescent="0.3">
      <c r="A28">
        <v>27</v>
      </c>
      <c r="F28" t="s">
        <v>959</v>
      </c>
    </row>
    <row r="29" spans="1:19" x14ac:dyDescent="0.3">
      <c r="A29">
        <v>28</v>
      </c>
      <c r="F29" t="s">
        <v>954</v>
      </c>
    </row>
    <row r="30" spans="1:19" x14ac:dyDescent="0.3">
      <c r="A30">
        <v>29</v>
      </c>
      <c r="F30" t="s">
        <v>971</v>
      </c>
    </row>
    <row r="31" spans="1:19" x14ac:dyDescent="0.3">
      <c r="A31">
        <v>30</v>
      </c>
      <c r="F31" t="s">
        <v>1034</v>
      </c>
    </row>
    <row r="32" spans="1:19" x14ac:dyDescent="0.3">
      <c r="A32">
        <v>31</v>
      </c>
      <c r="F32" t="s">
        <v>1017</v>
      </c>
    </row>
    <row r="33" spans="1:21" x14ac:dyDescent="0.3">
      <c r="A33">
        <v>32</v>
      </c>
      <c r="F33" t="s">
        <v>1032</v>
      </c>
    </row>
    <row r="34" spans="1:21" x14ac:dyDescent="0.3">
      <c r="A34">
        <v>33</v>
      </c>
      <c r="F34" s="305" t="s">
        <v>748</v>
      </c>
    </row>
    <row r="35" spans="1:21" x14ac:dyDescent="0.3">
      <c r="A35">
        <v>34</v>
      </c>
    </row>
    <row r="41" spans="1:21" s="2" customFormat="1" ht="15" thickBo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</sheetData>
  <autoFilter ref="B1:P1" xr:uid="{00000000-0009-0000-0000-00000F000000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66"/>
  <sheetViews>
    <sheetView workbookViewId="0">
      <pane xSplit="1" ySplit="1" topLeftCell="P2" activePane="bottomRight" state="frozen"/>
      <selection pane="topRight" activeCell="G8" sqref="A6:M35"/>
      <selection pane="bottomLeft" activeCell="G8" sqref="A6:M35"/>
      <selection pane="bottomRight" activeCell="G8" sqref="A6:M35"/>
    </sheetView>
  </sheetViews>
  <sheetFormatPr defaultColWidth="9.109375" defaultRowHeight="14.4" x14ac:dyDescent="0.3"/>
  <cols>
    <col min="2" max="6" width="13.109375" customWidth="1"/>
    <col min="7" max="7" width="21.109375" customWidth="1"/>
    <col min="8" max="12" width="13.109375" customWidth="1"/>
    <col min="17" max="17" width="46" bestFit="1" customWidth="1"/>
    <col min="22" max="22" width="28" bestFit="1" customWidth="1"/>
    <col min="23" max="23" width="28" customWidth="1"/>
    <col min="24" max="24" width="13.44140625" customWidth="1"/>
    <col min="25" max="25" width="28" customWidth="1"/>
  </cols>
  <sheetData>
    <row r="1" spans="1:26" s="45" customFormat="1" ht="75" customHeight="1" x14ac:dyDescent="0.3">
      <c r="B1" s="157" t="s">
        <v>1035</v>
      </c>
      <c r="C1" s="157" t="s">
        <v>1036</v>
      </c>
      <c r="D1" s="308" t="s">
        <v>1037</v>
      </c>
      <c r="E1" s="308" t="s">
        <v>1038</v>
      </c>
      <c r="F1" s="308" t="s">
        <v>1039</v>
      </c>
      <c r="G1" s="308" t="s">
        <v>1040</v>
      </c>
      <c r="H1" s="308" t="s">
        <v>1041</v>
      </c>
      <c r="I1" s="308" t="s">
        <v>1042</v>
      </c>
      <c r="J1" s="308" t="s">
        <v>1043</v>
      </c>
      <c r="K1" s="308" t="s">
        <v>1044</v>
      </c>
      <c r="L1" s="308" t="s">
        <v>1045</v>
      </c>
      <c r="M1" s="308" t="s">
        <v>1046</v>
      </c>
      <c r="N1" s="308" t="s">
        <v>1047</v>
      </c>
      <c r="O1" s="308" t="s">
        <v>1048</v>
      </c>
      <c r="P1" s="308" t="s">
        <v>1049</v>
      </c>
      <c r="Q1" s="308" t="s">
        <v>1050</v>
      </c>
      <c r="R1" s="308" t="s">
        <v>1051</v>
      </c>
      <c r="S1" s="308" t="s">
        <v>1052</v>
      </c>
      <c r="T1" s="308" t="s">
        <v>1053</v>
      </c>
      <c r="U1" s="308" t="s">
        <v>1054</v>
      </c>
      <c r="V1" s="308" t="s">
        <v>1055</v>
      </c>
      <c r="W1" s="308" t="s">
        <v>1056</v>
      </c>
      <c r="X1" s="308" t="s">
        <v>1057</v>
      </c>
      <c r="Y1" s="308" t="s">
        <v>1058</v>
      </c>
      <c r="Z1" s="305" t="s">
        <v>748</v>
      </c>
    </row>
    <row r="2" spans="1:26" x14ac:dyDescent="0.3">
      <c r="A2">
        <v>1</v>
      </c>
      <c r="B2" t="s">
        <v>1059</v>
      </c>
      <c r="C2" t="s">
        <v>1060</v>
      </c>
      <c r="D2" t="s">
        <v>1061</v>
      </c>
      <c r="E2" t="s">
        <v>1062</v>
      </c>
      <c r="F2" t="s">
        <v>1063</v>
      </c>
      <c r="G2" t="s">
        <v>1060</v>
      </c>
      <c r="H2" t="s">
        <v>1061</v>
      </c>
      <c r="I2" t="s">
        <v>1061</v>
      </c>
      <c r="J2" t="s">
        <v>1064</v>
      </c>
      <c r="K2" t="s">
        <v>1065</v>
      </c>
      <c r="L2" t="s">
        <v>1066</v>
      </c>
      <c r="M2" t="s">
        <v>1067</v>
      </c>
      <c r="N2" t="s">
        <v>1060</v>
      </c>
      <c r="O2" t="s">
        <v>1068</v>
      </c>
      <c r="P2" t="s">
        <v>1069</v>
      </c>
      <c r="Q2" t="s">
        <v>1068</v>
      </c>
      <c r="R2" t="s">
        <v>1060</v>
      </c>
      <c r="S2" t="s">
        <v>1061</v>
      </c>
      <c r="T2" t="s">
        <v>1070</v>
      </c>
      <c r="U2" t="s">
        <v>1064</v>
      </c>
      <c r="V2" t="s">
        <v>1067</v>
      </c>
      <c r="W2" t="s">
        <v>1061</v>
      </c>
      <c r="X2" t="s">
        <v>1061</v>
      </c>
      <c r="Y2" t="s">
        <v>1064</v>
      </c>
    </row>
    <row r="3" spans="1:26" x14ac:dyDescent="0.3">
      <c r="A3">
        <v>2</v>
      </c>
      <c r="B3" s="305" t="s">
        <v>748</v>
      </c>
      <c r="C3" t="s">
        <v>1071</v>
      </c>
      <c r="D3" s="305" t="s">
        <v>748</v>
      </c>
      <c r="E3" t="s">
        <v>1072</v>
      </c>
      <c r="F3" t="s">
        <v>1061</v>
      </c>
      <c r="G3" t="s">
        <v>1073</v>
      </c>
      <c r="H3" s="305" t="s">
        <v>748</v>
      </c>
      <c r="I3" t="s">
        <v>1065</v>
      </c>
      <c r="J3" t="s">
        <v>1074</v>
      </c>
      <c r="K3" t="s">
        <v>1071</v>
      </c>
      <c r="L3" t="s">
        <v>1060</v>
      </c>
      <c r="M3" t="s">
        <v>1060</v>
      </c>
      <c r="N3" t="s">
        <v>1061</v>
      </c>
      <c r="O3" t="s">
        <v>1075</v>
      </c>
      <c r="P3" t="s">
        <v>1076</v>
      </c>
      <c r="Q3" t="s">
        <v>1075</v>
      </c>
      <c r="R3" t="s">
        <v>1064</v>
      </c>
      <c r="S3" t="s">
        <v>1077</v>
      </c>
      <c r="T3" t="s">
        <v>1067</v>
      </c>
      <c r="U3" t="s">
        <v>1078</v>
      </c>
      <c r="V3" t="s">
        <v>1061</v>
      </c>
      <c r="W3" t="s">
        <v>1066</v>
      </c>
      <c r="X3" t="s">
        <v>1066</v>
      </c>
      <c r="Y3" t="s">
        <v>1071</v>
      </c>
    </row>
    <row r="4" spans="1:26" x14ac:dyDescent="0.3">
      <c r="A4">
        <v>3</v>
      </c>
      <c r="C4" t="s">
        <v>1072</v>
      </c>
      <c r="E4" s="305" t="s">
        <v>748</v>
      </c>
      <c r="F4" s="305" t="s">
        <v>748</v>
      </c>
      <c r="G4" t="s">
        <v>1065</v>
      </c>
      <c r="I4" t="s">
        <v>1064</v>
      </c>
      <c r="J4" t="s">
        <v>1072</v>
      </c>
      <c r="K4" t="s">
        <v>1078</v>
      </c>
      <c r="L4" t="s">
        <v>1079</v>
      </c>
      <c r="M4" t="s">
        <v>1077</v>
      </c>
      <c r="N4" t="s">
        <v>1077</v>
      </c>
      <c r="O4" t="s">
        <v>1060</v>
      </c>
      <c r="P4" t="s">
        <v>1078</v>
      </c>
      <c r="Q4" t="s">
        <v>1080</v>
      </c>
      <c r="R4" t="s">
        <v>1081</v>
      </c>
      <c r="S4" t="s">
        <v>1082</v>
      </c>
      <c r="T4" t="s">
        <v>1060</v>
      </c>
      <c r="U4" s="305" t="s">
        <v>748</v>
      </c>
      <c r="V4" t="s">
        <v>1073</v>
      </c>
      <c r="W4" t="s">
        <v>1064</v>
      </c>
      <c r="X4" t="s">
        <v>1064</v>
      </c>
      <c r="Y4" t="s">
        <v>1078</v>
      </c>
    </row>
    <row r="5" spans="1:26" x14ac:dyDescent="0.3">
      <c r="A5">
        <v>4</v>
      </c>
      <c r="C5" s="305" t="s">
        <v>748</v>
      </c>
      <c r="G5" t="s">
        <v>1064</v>
      </c>
      <c r="I5" t="s">
        <v>1083</v>
      </c>
      <c r="J5" s="305" t="s">
        <v>748</v>
      </c>
      <c r="K5" t="s">
        <v>1084</v>
      </c>
      <c r="L5" t="s">
        <v>1082</v>
      </c>
      <c r="M5" t="s">
        <v>1085</v>
      </c>
      <c r="N5" t="s">
        <v>1064</v>
      </c>
      <c r="O5" t="s">
        <v>1061</v>
      </c>
      <c r="P5" s="305" t="s">
        <v>748</v>
      </c>
      <c r="Q5" t="s">
        <v>1061</v>
      </c>
      <c r="R5" t="s">
        <v>1071</v>
      </c>
      <c r="S5" t="s">
        <v>1065</v>
      </c>
      <c r="T5" t="s">
        <v>1061</v>
      </c>
      <c r="V5" t="s">
        <v>1077</v>
      </c>
      <c r="W5" t="s">
        <v>1071</v>
      </c>
      <c r="X5" t="s">
        <v>1071</v>
      </c>
      <c r="Y5" t="s">
        <v>1084</v>
      </c>
    </row>
    <row r="6" spans="1:26" x14ac:dyDescent="0.3">
      <c r="A6">
        <v>5</v>
      </c>
      <c r="G6" t="s">
        <v>1076</v>
      </c>
      <c r="I6" t="s">
        <v>1086</v>
      </c>
      <c r="K6" s="305" t="s">
        <v>748</v>
      </c>
      <c r="L6" t="s">
        <v>1064</v>
      </c>
      <c r="M6" t="s">
        <v>1076</v>
      </c>
      <c r="N6" t="s">
        <v>1085</v>
      </c>
      <c r="O6" t="s">
        <v>1087</v>
      </c>
      <c r="Q6" t="s">
        <v>1079</v>
      </c>
      <c r="R6" t="s">
        <v>1078</v>
      </c>
      <c r="S6" t="s">
        <v>1064</v>
      </c>
      <c r="T6" t="s">
        <v>1088</v>
      </c>
      <c r="V6" t="s">
        <v>1065</v>
      </c>
      <c r="W6" t="s">
        <v>1060</v>
      </c>
      <c r="X6" t="s">
        <v>1060</v>
      </c>
      <c r="Y6" s="305" t="s">
        <v>748</v>
      </c>
    </row>
    <row r="7" spans="1:26" x14ac:dyDescent="0.3">
      <c r="A7">
        <v>6</v>
      </c>
      <c r="G7" t="s">
        <v>1071</v>
      </c>
      <c r="I7" t="s">
        <v>1089</v>
      </c>
      <c r="L7" t="s">
        <v>1081</v>
      </c>
      <c r="M7" t="s">
        <v>1090</v>
      </c>
      <c r="N7" t="s">
        <v>1089</v>
      </c>
      <c r="O7" t="s">
        <v>1082</v>
      </c>
      <c r="Q7" t="s">
        <v>1073</v>
      </c>
      <c r="R7" t="s">
        <v>1091</v>
      </c>
      <c r="S7" t="s">
        <v>1085</v>
      </c>
      <c r="T7" t="s">
        <v>1077</v>
      </c>
      <c r="V7" t="s">
        <v>1064</v>
      </c>
      <c r="W7" s="305" t="s">
        <v>748</v>
      </c>
      <c r="X7" t="s">
        <v>1092</v>
      </c>
    </row>
    <row r="8" spans="1:26" x14ac:dyDescent="0.3">
      <c r="A8">
        <v>7</v>
      </c>
      <c r="G8" t="s">
        <v>1066</v>
      </c>
      <c r="I8" t="s">
        <v>1071</v>
      </c>
      <c r="L8" t="s">
        <v>1066</v>
      </c>
      <c r="M8" t="s">
        <v>1089</v>
      </c>
      <c r="N8" t="s">
        <v>1071</v>
      </c>
      <c r="O8" t="s">
        <v>1064</v>
      </c>
      <c r="Q8" t="s">
        <v>1082</v>
      </c>
      <c r="R8" t="s">
        <v>1093</v>
      </c>
      <c r="S8" t="s">
        <v>1090</v>
      </c>
      <c r="T8" t="s">
        <v>1082</v>
      </c>
      <c r="V8" t="s">
        <v>1085</v>
      </c>
      <c r="X8" t="s">
        <v>1066</v>
      </c>
    </row>
    <row r="9" spans="1:26" x14ac:dyDescent="0.3">
      <c r="A9">
        <v>8</v>
      </c>
      <c r="G9" s="305" t="s">
        <v>748</v>
      </c>
      <c r="I9" t="s">
        <v>1066</v>
      </c>
      <c r="L9" t="s">
        <v>1094</v>
      </c>
      <c r="M9" t="s">
        <v>1071</v>
      </c>
      <c r="N9" t="s">
        <v>1095</v>
      </c>
      <c r="O9" t="s">
        <v>1064</v>
      </c>
      <c r="Q9" t="s">
        <v>1065</v>
      </c>
      <c r="R9" s="305" t="s">
        <v>748</v>
      </c>
      <c r="S9" t="s">
        <v>1081</v>
      </c>
      <c r="T9" t="s">
        <v>1065</v>
      </c>
      <c r="V9" t="s">
        <v>1090</v>
      </c>
      <c r="X9" t="s">
        <v>1064</v>
      </c>
    </row>
    <row r="10" spans="1:26" x14ac:dyDescent="0.3">
      <c r="A10">
        <v>9</v>
      </c>
      <c r="I10" t="s">
        <v>1078</v>
      </c>
      <c r="L10" t="s">
        <v>1094</v>
      </c>
      <c r="M10" t="s">
        <v>1095</v>
      </c>
      <c r="N10" t="s">
        <v>1096</v>
      </c>
      <c r="O10" t="s">
        <v>1071</v>
      </c>
      <c r="Q10" t="s">
        <v>1064</v>
      </c>
      <c r="S10" t="s">
        <v>1097</v>
      </c>
      <c r="T10" t="s">
        <v>1064</v>
      </c>
      <c r="V10" t="s">
        <v>1081</v>
      </c>
      <c r="X10" t="s">
        <v>1072</v>
      </c>
    </row>
    <row r="11" spans="1:26" x14ac:dyDescent="0.3">
      <c r="A11">
        <v>10</v>
      </c>
      <c r="I11" t="s">
        <v>1072</v>
      </c>
      <c r="L11" t="s">
        <v>1084</v>
      </c>
      <c r="M11" t="s">
        <v>1096</v>
      </c>
      <c r="N11" t="s">
        <v>1098</v>
      </c>
      <c r="O11" t="s">
        <v>1078</v>
      </c>
      <c r="Q11" t="s">
        <v>1071</v>
      </c>
      <c r="S11" t="s">
        <v>1089</v>
      </c>
      <c r="T11" t="s">
        <v>1099</v>
      </c>
      <c r="V11" t="s">
        <v>1100</v>
      </c>
      <c r="X11" s="305" t="s">
        <v>748</v>
      </c>
    </row>
    <row r="12" spans="1:26" x14ac:dyDescent="0.3">
      <c r="A12">
        <v>11</v>
      </c>
      <c r="I12" t="s">
        <v>1084</v>
      </c>
      <c r="L12" s="24" t="s">
        <v>748</v>
      </c>
      <c r="M12" t="s">
        <v>1098</v>
      </c>
      <c r="N12" t="s">
        <v>1101</v>
      </c>
      <c r="O12" t="s">
        <v>1094</v>
      </c>
      <c r="Q12" t="s">
        <v>1066</v>
      </c>
      <c r="S12" t="s">
        <v>1071</v>
      </c>
      <c r="T12" t="s">
        <v>1085</v>
      </c>
      <c r="V12" t="s">
        <v>1097</v>
      </c>
    </row>
    <row r="13" spans="1:26" x14ac:dyDescent="0.3">
      <c r="A13">
        <v>12</v>
      </c>
      <c r="I13" s="305" t="s">
        <v>748</v>
      </c>
      <c r="M13" t="s">
        <v>1102</v>
      </c>
      <c r="N13" t="s">
        <v>1102</v>
      </c>
      <c r="O13" t="s">
        <v>1094</v>
      </c>
      <c r="Q13" t="s">
        <v>1078</v>
      </c>
      <c r="S13" t="s">
        <v>1095</v>
      </c>
      <c r="T13" t="s">
        <v>1076</v>
      </c>
      <c r="V13" t="s">
        <v>1089</v>
      </c>
    </row>
    <row r="14" spans="1:26" x14ac:dyDescent="0.3">
      <c r="A14">
        <v>13</v>
      </c>
      <c r="M14" t="s">
        <v>1103</v>
      </c>
      <c r="N14" t="s">
        <v>1103</v>
      </c>
      <c r="O14" s="24" t="s">
        <v>748</v>
      </c>
      <c r="Q14" t="s">
        <v>1072</v>
      </c>
      <c r="S14" t="s">
        <v>1096</v>
      </c>
      <c r="T14" t="s">
        <v>1090</v>
      </c>
      <c r="V14" t="s">
        <v>1071</v>
      </c>
    </row>
    <row r="15" spans="1:26" x14ac:dyDescent="0.3">
      <c r="A15">
        <v>14</v>
      </c>
      <c r="M15" t="s">
        <v>1066</v>
      </c>
      <c r="N15" t="s">
        <v>1066</v>
      </c>
      <c r="Q15" t="s">
        <v>1094</v>
      </c>
      <c r="S15" t="s">
        <v>1098</v>
      </c>
      <c r="T15" t="s">
        <v>1104</v>
      </c>
      <c r="V15" t="s">
        <v>1095</v>
      </c>
    </row>
    <row r="16" spans="1:26" x14ac:dyDescent="0.3">
      <c r="A16">
        <v>15</v>
      </c>
      <c r="M16" t="s">
        <v>1072</v>
      </c>
      <c r="N16" t="s">
        <v>1072</v>
      </c>
      <c r="Q16" t="s">
        <v>1105</v>
      </c>
      <c r="S16" t="s">
        <v>1102</v>
      </c>
      <c r="T16" t="s">
        <v>1081</v>
      </c>
      <c r="V16" t="s">
        <v>1096</v>
      </c>
    </row>
    <row r="17" spans="1:25" x14ac:dyDescent="0.3">
      <c r="A17">
        <v>16</v>
      </c>
      <c r="M17" t="s">
        <v>1106</v>
      </c>
      <c r="N17" t="s">
        <v>1107</v>
      </c>
      <c r="Q17" t="s">
        <v>1093</v>
      </c>
      <c r="S17" t="s">
        <v>1103</v>
      </c>
      <c r="T17" t="s">
        <v>1097</v>
      </c>
      <c r="V17" t="s">
        <v>1098</v>
      </c>
    </row>
    <row r="18" spans="1:25" x14ac:dyDescent="0.3">
      <c r="A18">
        <v>17</v>
      </c>
      <c r="M18" t="s">
        <v>1107</v>
      </c>
      <c r="N18" t="s">
        <v>1108</v>
      </c>
      <c r="Q18" t="s">
        <v>1084</v>
      </c>
      <c r="S18" t="s">
        <v>1066</v>
      </c>
      <c r="T18" t="s">
        <v>1089</v>
      </c>
      <c r="V18" t="s">
        <v>1102</v>
      </c>
    </row>
    <row r="19" spans="1:25" x14ac:dyDescent="0.3">
      <c r="A19">
        <v>18</v>
      </c>
      <c r="M19" t="s">
        <v>1108</v>
      </c>
      <c r="N19" t="s">
        <v>1109</v>
      </c>
      <c r="Q19" s="24" t="s">
        <v>748</v>
      </c>
      <c r="S19" t="s">
        <v>1078</v>
      </c>
      <c r="T19" t="s">
        <v>1071</v>
      </c>
      <c r="V19" t="s">
        <v>1103</v>
      </c>
    </row>
    <row r="20" spans="1:25" x14ac:dyDescent="0.3">
      <c r="M20" t="s">
        <v>1109</v>
      </c>
      <c r="N20" t="s">
        <v>1105</v>
      </c>
      <c r="S20" t="s">
        <v>1072</v>
      </c>
      <c r="T20" t="s">
        <v>1095</v>
      </c>
      <c r="V20" t="s">
        <v>1066</v>
      </c>
    </row>
    <row r="21" spans="1:25" x14ac:dyDescent="0.3">
      <c r="M21" t="s">
        <v>1105</v>
      </c>
      <c r="N21" t="s">
        <v>1110</v>
      </c>
      <c r="S21" t="s">
        <v>1094</v>
      </c>
      <c r="T21" t="s">
        <v>1096</v>
      </c>
      <c r="V21" t="s">
        <v>1078</v>
      </c>
    </row>
    <row r="22" spans="1:25" x14ac:dyDescent="0.3">
      <c r="M22" t="s">
        <v>1110</v>
      </c>
      <c r="N22" t="s">
        <v>1084</v>
      </c>
      <c r="S22" t="s">
        <v>1108</v>
      </c>
      <c r="T22" t="s">
        <v>1098</v>
      </c>
      <c r="V22" t="s">
        <v>1072</v>
      </c>
    </row>
    <row r="23" spans="1:25" x14ac:dyDescent="0.3">
      <c r="M23" t="s">
        <v>1084</v>
      </c>
      <c r="N23" s="305" t="s">
        <v>748</v>
      </c>
      <c r="S23" t="s">
        <v>1109</v>
      </c>
      <c r="T23" t="s">
        <v>1102</v>
      </c>
      <c r="V23" t="s">
        <v>1107</v>
      </c>
    </row>
    <row r="24" spans="1:25" x14ac:dyDescent="0.3">
      <c r="M24" s="305" t="s">
        <v>748</v>
      </c>
      <c r="S24" t="s">
        <v>1111</v>
      </c>
      <c r="T24" t="s">
        <v>1103</v>
      </c>
      <c r="V24" t="s">
        <v>1108</v>
      </c>
    </row>
    <row r="25" spans="1:25" x14ac:dyDescent="0.3">
      <c r="S25" t="s">
        <v>1105</v>
      </c>
      <c r="T25" t="s">
        <v>1066</v>
      </c>
      <c r="V25" t="s">
        <v>1109</v>
      </c>
    </row>
    <row r="26" spans="1:25" x14ac:dyDescent="0.3">
      <c r="S26" t="s">
        <v>1110</v>
      </c>
      <c r="T26" t="s">
        <v>1078</v>
      </c>
      <c r="V26" t="s">
        <v>1105</v>
      </c>
    </row>
    <row r="27" spans="1:25" x14ac:dyDescent="0.3">
      <c r="S27" t="s">
        <v>1084</v>
      </c>
      <c r="T27" t="s">
        <v>1072</v>
      </c>
      <c r="V27" t="s">
        <v>1110</v>
      </c>
    </row>
    <row r="28" spans="1:25" ht="15" thickBot="1" x14ac:dyDescent="0.35">
      <c r="Q28" s="2"/>
      <c r="S28" s="305" t="s">
        <v>748</v>
      </c>
      <c r="T28" t="s">
        <v>1094</v>
      </c>
      <c r="V28" t="s">
        <v>1084</v>
      </c>
    </row>
    <row r="29" spans="1:25" x14ac:dyDescent="0.3">
      <c r="T29" t="s">
        <v>1108</v>
      </c>
      <c r="V29" s="305" t="s">
        <v>748</v>
      </c>
      <c r="W29" s="305"/>
      <c r="X29" s="305"/>
      <c r="Y29" s="305"/>
    </row>
    <row r="30" spans="1:25" x14ac:dyDescent="0.3">
      <c r="T30" t="s">
        <v>1109</v>
      </c>
    </row>
    <row r="31" spans="1:25" x14ac:dyDescent="0.3">
      <c r="T31" t="s">
        <v>1105</v>
      </c>
    </row>
    <row r="32" spans="1:25" x14ac:dyDescent="0.3">
      <c r="T32" t="s">
        <v>1110</v>
      </c>
    </row>
    <row r="33" spans="1:25" x14ac:dyDescent="0.3">
      <c r="T33" t="s">
        <v>1084</v>
      </c>
    </row>
    <row r="34" spans="1:25" ht="15" thickBot="1" x14ac:dyDescent="0.35">
      <c r="T34" s="2" t="s">
        <v>1084</v>
      </c>
    </row>
    <row r="35" spans="1:25" x14ac:dyDescent="0.3">
      <c r="T35" s="305" t="s">
        <v>748</v>
      </c>
    </row>
    <row r="43" spans="1:25" s="2" customFormat="1" ht="15" thickBot="1" x14ac:dyDescent="0.35">
      <c r="A43"/>
    </row>
    <row r="44" spans="1:25" x14ac:dyDescent="0.3">
      <c r="T44" s="311" t="s">
        <v>1112</v>
      </c>
      <c r="V44" s="311" t="s">
        <v>1113</v>
      </c>
      <c r="W44" s="311"/>
      <c r="X44" s="311"/>
      <c r="Y44" s="311"/>
    </row>
    <row r="45" spans="1:25" x14ac:dyDescent="0.3">
      <c r="L45" s="311"/>
      <c r="M45" s="311"/>
      <c r="O45" s="311"/>
      <c r="Q45" s="311"/>
      <c r="T45" s="311" t="s">
        <v>1114</v>
      </c>
      <c r="V45" s="311"/>
      <c r="W45" s="311"/>
      <c r="X45" s="311"/>
      <c r="Y45" s="311"/>
    </row>
    <row r="46" spans="1:25" x14ac:dyDescent="0.3">
      <c r="G46" s="311"/>
      <c r="L46" s="311"/>
      <c r="M46" s="311"/>
      <c r="O46" s="311"/>
      <c r="Q46" s="311"/>
      <c r="T46" s="311" t="s">
        <v>1115</v>
      </c>
      <c r="V46" s="311"/>
      <c r="W46" s="311"/>
      <c r="X46" s="311"/>
      <c r="Y46" s="311"/>
    </row>
    <row r="47" spans="1:25" x14ac:dyDescent="0.3">
      <c r="G47" s="311"/>
      <c r="L47" s="311"/>
      <c r="M47" s="311"/>
      <c r="O47" s="311"/>
      <c r="Q47" s="311"/>
      <c r="S47" s="311" t="s">
        <v>1116</v>
      </c>
      <c r="T47" s="311" t="s">
        <v>1117</v>
      </c>
      <c r="V47" s="311"/>
      <c r="W47" s="311"/>
      <c r="X47" s="311"/>
      <c r="Y47" s="311"/>
    </row>
    <row r="48" spans="1:25" x14ac:dyDescent="0.3">
      <c r="G48" s="311"/>
      <c r="M48" s="311"/>
      <c r="Q48" s="311"/>
      <c r="S48" s="311" t="s">
        <v>1118</v>
      </c>
      <c r="T48" s="311" t="s">
        <v>1119</v>
      </c>
    </row>
    <row r="49" spans="13:20" x14ac:dyDescent="0.3">
      <c r="M49" s="311"/>
      <c r="Q49" s="311"/>
      <c r="T49" s="311" t="s">
        <v>1120</v>
      </c>
    </row>
    <row r="50" spans="13:20" x14ac:dyDescent="0.3">
      <c r="M50" s="311"/>
      <c r="Q50" s="311"/>
      <c r="T50" s="311" t="s">
        <v>1121</v>
      </c>
    </row>
    <row r="51" spans="13:20" x14ac:dyDescent="0.3">
      <c r="Q51" s="311"/>
      <c r="T51" s="311" t="s">
        <v>1122</v>
      </c>
    </row>
    <row r="52" spans="13:20" x14ac:dyDescent="0.3">
      <c r="Q52" s="311"/>
      <c r="T52" s="311" t="s">
        <v>1123</v>
      </c>
    </row>
    <row r="53" spans="13:20" x14ac:dyDescent="0.3">
      <c r="Q53" s="311"/>
      <c r="T53" s="311" t="s">
        <v>1124</v>
      </c>
    </row>
    <row r="54" spans="13:20" x14ac:dyDescent="0.3">
      <c r="Q54" s="311"/>
      <c r="T54" s="311" t="s">
        <v>1125</v>
      </c>
    </row>
    <row r="55" spans="13:20" x14ac:dyDescent="0.3">
      <c r="Q55" s="311"/>
      <c r="T55" s="311" t="s">
        <v>1126</v>
      </c>
    </row>
    <row r="56" spans="13:20" x14ac:dyDescent="0.3">
      <c r="Q56" s="311"/>
      <c r="T56" s="311" t="s">
        <v>1127</v>
      </c>
    </row>
    <row r="57" spans="13:20" x14ac:dyDescent="0.3">
      <c r="Q57" s="311"/>
      <c r="T57" s="311" t="s">
        <v>1128</v>
      </c>
    </row>
    <row r="58" spans="13:20" x14ac:dyDescent="0.3">
      <c r="Q58" s="311"/>
      <c r="T58" s="311" t="s">
        <v>1129</v>
      </c>
    </row>
    <row r="59" spans="13:20" x14ac:dyDescent="0.3">
      <c r="Q59" s="311"/>
    </row>
    <row r="60" spans="13:20" x14ac:dyDescent="0.3">
      <c r="Q60" s="311"/>
    </row>
    <row r="61" spans="13:20" x14ac:dyDescent="0.3">
      <c r="Q61" s="311"/>
    </row>
    <row r="62" spans="13:20" x14ac:dyDescent="0.3">
      <c r="Q62" s="311"/>
    </row>
    <row r="63" spans="13:20" x14ac:dyDescent="0.3">
      <c r="Q63" s="311"/>
    </row>
    <row r="64" spans="13:20" x14ac:dyDescent="0.3">
      <c r="Q64" s="311"/>
    </row>
    <row r="65" spans="17:17" x14ac:dyDescent="0.3">
      <c r="Q65" s="311"/>
    </row>
    <row r="66" spans="17:17" x14ac:dyDescent="0.3">
      <c r="Q66" s="311"/>
    </row>
  </sheetData>
  <autoFilter ref="A1:Z44" xr:uid="{2B78F3F2-0FD8-46F8-85D2-E7025CF324BF}"/>
  <sortState xmlns:xlrd2="http://schemas.microsoft.com/office/spreadsheetml/2017/richdata2" ref="V2:V32">
    <sortCondition ref="V2:V3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S26"/>
  <sheetViews>
    <sheetView topLeftCell="D1" workbookViewId="0">
      <pane ySplit="1" topLeftCell="A2" activePane="bottomLeft" state="frozen"/>
      <selection activeCell="G8" sqref="G8:M35"/>
      <selection pane="bottomLeft" activeCell="G8" sqref="G8:M35"/>
    </sheetView>
  </sheetViews>
  <sheetFormatPr defaultColWidth="9.109375" defaultRowHeight="14.4" x14ac:dyDescent="0.3"/>
  <cols>
    <col min="4" max="4" width="23.44140625" bestFit="1" customWidth="1"/>
    <col min="5" max="5" width="23" bestFit="1" customWidth="1"/>
    <col min="12" max="12" width="27.6640625" bestFit="1" customWidth="1"/>
    <col min="14" max="14" width="36.6640625" bestFit="1" customWidth="1"/>
    <col min="15" max="15" width="33.109375" bestFit="1" customWidth="1"/>
  </cols>
  <sheetData>
    <row r="1" spans="1:19" s="46" customFormat="1" ht="80.25" customHeight="1" x14ac:dyDescent="0.3">
      <c r="B1" s="46" t="s">
        <v>1130</v>
      </c>
      <c r="C1" s="46" t="s">
        <v>1131</v>
      </c>
      <c r="D1" s="46" t="s">
        <v>1132</v>
      </c>
      <c r="E1" s="46" t="s">
        <v>1133</v>
      </c>
      <c r="F1" s="46" t="s">
        <v>1134</v>
      </c>
      <c r="G1" s="46" t="s">
        <v>1135</v>
      </c>
      <c r="H1" s="46" t="s">
        <v>1136</v>
      </c>
      <c r="I1" s="46" t="s">
        <v>1137</v>
      </c>
      <c r="J1" s="46" t="s">
        <v>1138</v>
      </c>
      <c r="K1" s="46" t="s">
        <v>1139</v>
      </c>
      <c r="L1" s="46" t="s">
        <v>1140</v>
      </c>
      <c r="M1" s="46" t="s">
        <v>1141</v>
      </c>
      <c r="N1" s="46" t="s">
        <v>1142</v>
      </c>
      <c r="O1" s="46" t="s">
        <v>1143</v>
      </c>
      <c r="P1" s="46" t="s">
        <v>1144</v>
      </c>
      <c r="Q1" s="46" t="s">
        <v>1145</v>
      </c>
      <c r="R1" s="46" t="s">
        <v>1139</v>
      </c>
      <c r="S1" s="305" t="s">
        <v>748</v>
      </c>
    </row>
    <row r="2" spans="1:19" x14ac:dyDescent="0.3">
      <c r="A2">
        <v>1</v>
      </c>
      <c r="B2" t="s">
        <v>1146</v>
      </c>
      <c r="C2" t="s">
        <v>1147</v>
      </c>
      <c r="D2" t="s">
        <v>1148</v>
      </c>
      <c r="E2" t="s">
        <v>1118</v>
      </c>
      <c r="F2" t="s">
        <v>640</v>
      </c>
      <c r="G2" t="s">
        <v>640</v>
      </c>
      <c r="H2" t="s">
        <v>640</v>
      </c>
      <c r="I2" t="s">
        <v>1118</v>
      </c>
      <c r="J2" t="s">
        <v>1118</v>
      </c>
      <c r="K2" t="s">
        <v>640</v>
      </c>
      <c r="L2" t="s">
        <v>1149</v>
      </c>
      <c r="M2" t="s">
        <v>1147</v>
      </c>
      <c r="N2" t="s">
        <v>1116</v>
      </c>
      <c r="O2" t="s">
        <v>1150</v>
      </c>
      <c r="P2" t="s">
        <v>1151</v>
      </c>
      <c r="Q2" t="s">
        <v>1152</v>
      </c>
      <c r="R2" t="s">
        <v>1150</v>
      </c>
    </row>
    <row r="3" spans="1:19" x14ac:dyDescent="0.3">
      <c r="A3">
        <v>2</v>
      </c>
      <c r="B3" t="s">
        <v>1153</v>
      </c>
      <c r="C3" t="s">
        <v>1118</v>
      </c>
      <c r="D3" t="s">
        <v>1146</v>
      </c>
      <c r="E3" s="305" t="s">
        <v>748</v>
      </c>
      <c r="F3" s="305" t="s">
        <v>748</v>
      </c>
      <c r="G3" s="305" t="s">
        <v>748</v>
      </c>
      <c r="H3" s="305" t="s">
        <v>748</v>
      </c>
      <c r="I3" t="s">
        <v>1153</v>
      </c>
      <c r="J3" s="305" t="s">
        <v>748</v>
      </c>
      <c r="K3" s="305" t="s">
        <v>748</v>
      </c>
      <c r="L3" t="s">
        <v>1154</v>
      </c>
      <c r="M3" s="305" t="s">
        <v>748</v>
      </c>
      <c r="N3" t="s">
        <v>1118</v>
      </c>
      <c r="O3" t="s">
        <v>1155</v>
      </c>
      <c r="P3" s="305" t="s">
        <v>748</v>
      </c>
      <c r="Q3" t="s">
        <v>1156</v>
      </c>
      <c r="R3" t="s">
        <v>1155</v>
      </c>
    </row>
    <row r="4" spans="1:19" x14ac:dyDescent="0.3">
      <c r="A4">
        <v>3</v>
      </c>
      <c r="B4" t="s">
        <v>1116</v>
      </c>
      <c r="C4" s="305" t="s">
        <v>748</v>
      </c>
      <c r="D4" t="s">
        <v>1157</v>
      </c>
      <c r="I4" s="305" t="s">
        <v>748</v>
      </c>
      <c r="L4" t="s">
        <v>1147</v>
      </c>
      <c r="N4" t="s">
        <v>1155</v>
      </c>
      <c r="O4" t="s">
        <v>1147</v>
      </c>
      <c r="Q4" t="s">
        <v>1118</v>
      </c>
      <c r="R4" t="s">
        <v>1147</v>
      </c>
    </row>
    <row r="5" spans="1:19" x14ac:dyDescent="0.3">
      <c r="A5">
        <v>4</v>
      </c>
      <c r="B5" s="305" t="s">
        <v>748</v>
      </c>
      <c r="D5" t="s">
        <v>1156</v>
      </c>
      <c r="L5" t="s">
        <v>1152</v>
      </c>
      <c r="N5" t="s">
        <v>1152</v>
      </c>
      <c r="O5" t="s">
        <v>1152</v>
      </c>
      <c r="Q5" t="s">
        <v>1158</v>
      </c>
      <c r="R5" t="s">
        <v>1152</v>
      </c>
    </row>
    <row r="6" spans="1:19" x14ac:dyDescent="0.3">
      <c r="A6">
        <v>5</v>
      </c>
      <c r="D6" t="s">
        <v>1159</v>
      </c>
      <c r="L6" t="s">
        <v>1153</v>
      </c>
      <c r="N6" t="s">
        <v>1153</v>
      </c>
      <c r="O6" t="s">
        <v>1153</v>
      </c>
      <c r="Q6" t="s">
        <v>1160</v>
      </c>
      <c r="R6" t="s">
        <v>1153</v>
      </c>
    </row>
    <row r="7" spans="1:19" x14ac:dyDescent="0.3">
      <c r="A7">
        <v>6</v>
      </c>
      <c r="D7" t="s">
        <v>1116</v>
      </c>
      <c r="L7" t="s">
        <v>1148</v>
      </c>
      <c r="N7" t="s">
        <v>1157</v>
      </c>
      <c r="O7" t="s">
        <v>1157</v>
      </c>
      <c r="Q7" s="305" t="s">
        <v>748</v>
      </c>
      <c r="R7" t="s">
        <v>1157</v>
      </c>
    </row>
    <row r="8" spans="1:19" x14ac:dyDescent="0.3">
      <c r="A8">
        <v>7</v>
      </c>
      <c r="D8" t="s">
        <v>1118</v>
      </c>
      <c r="L8" t="s">
        <v>1159</v>
      </c>
      <c r="N8" t="s">
        <v>1161</v>
      </c>
      <c r="O8" t="s">
        <v>1156</v>
      </c>
      <c r="R8" t="s">
        <v>1156</v>
      </c>
    </row>
    <row r="9" spans="1:19" x14ac:dyDescent="0.3">
      <c r="A9">
        <v>8</v>
      </c>
      <c r="D9" s="305" t="s">
        <v>748</v>
      </c>
      <c r="L9" t="s">
        <v>1161</v>
      </c>
      <c r="N9" t="s">
        <v>1116</v>
      </c>
      <c r="O9" t="s">
        <v>1162</v>
      </c>
      <c r="R9" t="s">
        <v>1162</v>
      </c>
    </row>
    <row r="10" spans="1:19" x14ac:dyDescent="0.3">
      <c r="A10">
        <v>9</v>
      </c>
      <c r="L10" t="s">
        <v>1116</v>
      </c>
      <c r="N10" t="s">
        <v>1118</v>
      </c>
      <c r="O10" t="s">
        <v>1163</v>
      </c>
      <c r="R10" t="s">
        <v>1163</v>
      </c>
    </row>
    <row r="11" spans="1:19" x14ac:dyDescent="0.3">
      <c r="A11">
        <v>10</v>
      </c>
      <c r="L11" t="s">
        <v>1118</v>
      </c>
      <c r="N11" s="305" t="s">
        <v>748</v>
      </c>
      <c r="O11" t="s">
        <v>1148</v>
      </c>
      <c r="R11" t="s">
        <v>1148</v>
      </c>
    </row>
    <row r="12" spans="1:19" x14ac:dyDescent="0.3">
      <c r="A12">
        <v>11</v>
      </c>
      <c r="L12" t="s">
        <v>1164</v>
      </c>
      <c r="O12" t="s">
        <v>1159</v>
      </c>
      <c r="R12" t="s">
        <v>1159</v>
      </c>
    </row>
    <row r="13" spans="1:19" x14ac:dyDescent="0.3">
      <c r="A13">
        <v>12</v>
      </c>
      <c r="L13" s="305" t="s">
        <v>748</v>
      </c>
      <c r="O13" t="s">
        <v>1161</v>
      </c>
      <c r="R13" t="s">
        <v>1161</v>
      </c>
    </row>
    <row r="14" spans="1:19" x14ac:dyDescent="0.3">
      <c r="A14">
        <v>13</v>
      </c>
      <c r="O14" t="s">
        <v>1116</v>
      </c>
      <c r="R14" t="s">
        <v>1116</v>
      </c>
    </row>
    <row r="15" spans="1:19" x14ac:dyDescent="0.3">
      <c r="A15">
        <v>14</v>
      </c>
      <c r="O15" t="s">
        <v>1118</v>
      </c>
      <c r="R15" t="s">
        <v>1118</v>
      </c>
    </row>
    <row r="16" spans="1:19" ht="15" thickBot="1" x14ac:dyDescent="0.35">
      <c r="A16">
        <v>15</v>
      </c>
      <c r="O16" s="2" t="s">
        <v>1158</v>
      </c>
      <c r="R16" s="2" t="s">
        <v>1158</v>
      </c>
    </row>
    <row r="17" spans="1:18" x14ac:dyDescent="0.3">
      <c r="A17">
        <v>16</v>
      </c>
      <c r="O17" s="305" t="s">
        <v>748</v>
      </c>
      <c r="R17" s="305" t="s">
        <v>748</v>
      </c>
    </row>
    <row r="18" spans="1:18" x14ac:dyDescent="0.3">
      <c r="A18">
        <v>17</v>
      </c>
    </row>
    <row r="19" spans="1:18" x14ac:dyDescent="0.3">
      <c r="A19">
        <v>18</v>
      </c>
    </row>
    <row r="20" spans="1:18" x14ac:dyDescent="0.3">
      <c r="A20">
        <v>19</v>
      </c>
    </row>
    <row r="21" spans="1:18" x14ac:dyDescent="0.3">
      <c r="A21">
        <v>20</v>
      </c>
    </row>
    <row r="22" spans="1:18" x14ac:dyDescent="0.3">
      <c r="A22">
        <v>21</v>
      </c>
    </row>
    <row r="23" spans="1:18" x14ac:dyDescent="0.3">
      <c r="A23">
        <v>22</v>
      </c>
    </row>
    <row r="24" spans="1:18" x14ac:dyDescent="0.3">
      <c r="A24">
        <v>23</v>
      </c>
    </row>
    <row r="25" spans="1:18" x14ac:dyDescent="0.3">
      <c r="A25">
        <v>24</v>
      </c>
    </row>
    <row r="26" spans="1:18" s="2" customFormat="1" ht="15" thickBot="1" x14ac:dyDescent="0.35">
      <c r="A26">
        <v>25</v>
      </c>
      <c r="O26"/>
    </row>
  </sheetData>
  <sortState xmlns:xlrd2="http://schemas.microsoft.com/office/spreadsheetml/2017/richdata2" ref="Q2:Q6">
    <sortCondition ref="Q2:Q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P24"/>
  <sheetViews>
    <sheetView workbookViewId="0">
      <pane ySplit="1" topLeftCell="A2" activePane="bottomLeft" state="frozen"/>
      <selection activeCell="G8" sqref="G8:M35"/>
      <selection pane="bottomLeft" activeCell="G8" sqref="G8:M35"/>
    </sheetView>
  </sheetViews>
  <sheetFormatPr defaultColWidth="8.6640625" defaultRowHeight="14.4" x14ac:dyDescent="0.3"/>
  <cols>
    <col min="2" max="2" width="11.44140625" customWidth="1"/>
    <col min="11" max="11" width="14" customWidth="1"/>
    <col min="14" max="14" width="33.109375" bestFit="1" customWidth="1"/>
  </cols>
  <sheetData>
    <row r="1" spans="1:16" s="300" customFormat="1" ht="80.25" customHeight="1" x14ac:dyDescent="0.3">
      <c r="B1" s="307" t="s">
        <v>1165</v>
      </c>
      <c r="C1" s="307" t="s">
        <v>1166</v>
      </c>
      <c r="D1" s="307" t="s">
        <v>1167</v>
      </c>
      <c r="E1" s="307" t="s">
        <v>1168</v>
      </c>
      <c r="F1" s="307" t="s">
        <v>1169</v>
      </c>
      <c r="G1" s="307" t="s">
        <v>1170</v>
      </c>
      <c r="H1" s="307" t="s">
        <v>1171</v>
      </c>
      <c r="I1" s="307" t="s">
        <v>1172</v>
      </c>
      <c r="J1" s="307" t="s">
        <v>1173</v>
      </c>
      <c r="K1" s="307" t="s">
        <v>1174</v>
      </c>
      <c r="L1" s="307" t="s">
        <v>1175</v>
      </c>
      <c r="M1" s="307" t="s">
        <v>1176</v>
      </c>
      <c r="N1" s="307" t="s">
        <v>1177</v>
      </c>
      <c r="O1" s="307" t="s">
        <v>1178</v>
      </c>
      <c r="P1" s="305" t="s">
        <v>748</v>
      </c>
    </row>
    <row r="2" spans="1:16" x14ac:dyDescent="0.3">
      <c r="A2">
        <v>1</v>
      </c>
      <c r="B2" s="8" t="s">
        <v>1179</v>
      </c>
      <c r="C2" s="8" t="s">
        <v>1180</v>
      </c>
      <c r="D2" s="8" t="s">
        <v>1181</v>
      </c>
      <c r="E2" s="8" t="s">
        <v>1182</v>
      </c>
      <c r="F2" s="8" t="s">
        <v>1182</v>
      </c>
      <c r="G2" s="8" t="s">
        <v>1182</v>
      </c>
      <c r="H2" s="8" t="s">
        <v>1183</v>
      </c>
      <c r="I2" s="8" t="s">
        <v>1182</v>
      </c>
      <c r="J2" s="8" t="s">
        <v>1182</v>
      </c>
      <c r="K2" s="8" t="s">
        <v>1184</v>
      </c>
      <c r="L2" s="8" t="s">
        <v>1182</v>
      </c>
      <c r="M2" s="8" t="s">
        <v>1185</v>
      </c>
      <c r="N2" s="8" t="s">
        <v>1186</v>
      </c>
      <c r="O2" s="8" t="s">
        <v>1187</v>
      </c>
    </row>
    <row r="3" spans="1:16" x14ac:dyDescent="0.3">
      <c r="A3">
        <v>2</v>
      </c>
      <c r="B3" s="8" t="s">
        <v>1188</v>
      </c>
      <c r="C3" s="8" t="s">
        <v>1189</v>
      </c>
      <c r="D3" s="8" t="s">
        <v>1179</v>
      </c>
      <c r="E3" s="305" t="s">
        <v>748</v>
      </c>
      <c r="F3" s="305" t="s">
        <v>748</v>
      </c>
      <c r="G3" s="305" t="s">
        <v>748</v>
      </c>
      <c r="H3" s="8" t="s">
        <v>1190</v>
      </c>
      <c r="I3" s="305" t="s">
        <v>748</v>
      </c>
      <c r="J3" s="305" t="s">
        <v>748</v>
      </c>
      <c r="K3" s="8" t="s">
        <v>1191</v>
      </c>
      <c r="L3" s="305" t="s">
        <v>748</v>
      </c>
      <c r="M3" s="8" t="s">
        <v>1192</v>
      </c>
      <c r="N3" s="8" t="s">
        <v>1193</v>
      </c>
      <c r="O3" s="8" t="s">
        <v>1194</v>
      </c>
    </row>
    <row r="4" spans="1:16" x14ac:dyDescent="0.3">
      <c r="A4">
        <v>3</v>
      </c>
      <c r="B4" s="8" t="s">
        <v>1195</v>
      </c>
      <c r="C4" s="8" t="s">
        <v>1196</v>
      </c>
      <c r="D4" s="8" t="s">
        <v>1197</v>
      </c>
      <c r="H4" s="8" t="s">
        <v>1198</v>
      </c>
      <c r="K4" s="8" t="s">
        <v>1199</v>
      </c>
      <c r="M4" s="8" t="s">
        <v>1200</v>
      </c>
      <c r="N4" s="8" t="s">
        <v>1201</v>
      </c>
      <c r="O4" s="8" t="s">
        <v>1202</v>
      </c>
    </row>
    <row r="5" spans="1:16" x14ac:dyDescent="0.3">
      <c r="A5">
        <v>4</v>
      </c>
      <c r="B5" s="305" t="s">
        <v>748</v>
      </c>
      <c r="C5" s="8" t="s">
        <v>1203</v>
      </c>
      <c r="D5" s="8" t="s">
        <v>1204</v>
      </c>
      <c r="H5" s="305" t="s">
        <v>748</v>
      </c>
      <c r="K5" s="8" t="s">
        <v>1205</v>
      </c>
      <c r="M5" s="305" t="s">
        <v>748</v>
      </c>
      <c r="N5" s="8" t="s">
        <v>1206</v>
      </c>
      <c r="O5" s="8" t="s">
        <v>1207</v>
      </c>
    </row>
    <row r="6" spans="1:16" x14ac:dyDescent="0.3">
      <c r="A6">
        <v>5</v>
      </c>
      <c r="B6" s="8"/>
      <c r="C6" s="305" t="s">
        <v>748</v>
      </c>
      <c r="D6" s="8" t="s">
        <v>1208</v>
      </c>
      <c r="H6" s="9"/>
      <c r="K6" s="8" t="s">
        <v>1209</v>
      </c>
      <c r="M6" s="8"/>
      <c r="N6" s="8" t="s">
        <v>1210</v>
      </c>
      <c r="O6" s="305" t="s">
        <v>748</v>
      </c>
    </row>
    <row r="7" spans="1:16" x14ac:dyDescent="0.3">
      <c r="A7">
        <v>6</v>
      </c>
      <c r="B7" s="8"/>
      <c r="C7" s="8"/>
      <c r="D7" s="8" t="s">
        <v>1211</v>
      </c>
      <c r="H7" s="8"/>
      <c r="K7" s="8" t="s">
        <v>1212</v>
      </c>
      <c r="M7" s="8"/>
      <c r="N7" s="8" t="s">
        <v>1213</v>
      </c>
      <c r="O7" s="8"/>
    </row>
    <row r="8" spans="1:16" x14ac:dyDescent="0.3">
      <c r="A8">
        <v>7</v>
      </c>
      <c r="B8" s="8"/>
      <c r="C8" s="8"/>
      <c r="D8" s="305" t="s">
        <v>748</v>
      </c>
      <c r="H8" s="8"/>
      <c r="K8" s="8" t="s">
        <v>1214</v>
      </c>
      <c r="M8" s="8"/>
      <c r="N8" s="8" t="s">
        <v>1197</v>
      </c>
      <c r="O8" s="8"/>
    </row>
    <row r="9" spans="1:16" x14ac:dyDescent="0.3">
      <c r="A9">
        <v>8</v>
      </c>
      <c r="B9" s="8"/>
      <c r="C9" s="8"/>
      <c r="D9" s="8"/>
      <c r="H9" s="8"/>
      <c r="K9" s="8" t="s">
        <v>1189</v>
      </c>
      <c r="M9" s="8"/>
      <c r="N9" s="8" t="s">
        <v>1204</v>
      </c>
      <c r="O9" s="8"/>
    </row>
    <row r="10" spans="1:16" x14ac:dyDescent="0.3">
      <c r="A10">
        <v>9</v>
      </c>
      <c r="B10" s="8"/>
      <c r="C10" s="8"/>
      <c r="D10" s="8"/>
      <c r="H10" s="8"/>
      <c r="K10" s="8" t="s">
        <v>1215</v>
      </c>
      <c r="M10" s="8"/>
      <c r="N10" s="8" t="s">
        <v>1216</v>
      </c>
      <c r="O10" s="8"/>
    </row>
    <row r="11" spans="1:16" x14ac:dyDescent="0.3">
      <c r="A11">
        <v>10</v>
      </c>
      <c r="B11" s="8"/>
      <c r="C11" s="8"/>
      <c r="D11" s="8"/>
      <c r="H11" s="8"/>
      <c r="K11" s="8" t="s">
        <v>1217</v>
      </c>
      <c r="M11" s="8"/>
      <c r="N11" s="8" t="s">
        <v>1218</v>
      </c>
      <c r="O11" s="8"/>
    </row>
    <row r="12" spans="1:16" x14ac:dyDescent="0.3">
      <c r="A12">
        <v>11</v>
      </c>
      <c r="B12" s="8"/>
      <c r="C12" s="8"/>
      <c r="K12" s="8" t="s">
        <v>1219</v>
      </c>
      <c r="M12" s="8"/>
      <c r="N12" s="8" t="s">
        <v>1220</v>
      </c>
      <c r="O12" s="8"/>
    </row>
    <row r="13" spans="1:16" x14ac:dyDescent="0.3">
      <c r="A13">
        <v>12</v>
      </c>
      <c r="B13" s="8"/>
      <c r="C13" s="8"/>
      <c r="K13" s="8" t="s">
        <v>1198</v>
      </c>
      <c r="M13" s="8"/>
      <c r="N13" s="8" t="s">
        <v>1208</v>
      </c>
      <c r="O13" s="8"/>
    </row>
    <row r="14" spans="1:16" x14ac:dyDescent="0.3">
      <c r="A14">
        <v>13</v>
      </c>
      <c r="B14" s="8"/>
      <c r="C14" s="8"/>
      <c r="K14" s="8" t="s">
        <v>1221</v>
      </c>
      <c r="M14" s="8"/>
      <c r="N14" s="8" t="s">
        <v>1222</v>
      </c>
      <c r="O14" s="8"/>
    </row>
    <row r="15" spans="1:16" x14ac:dyDescent="0.3">
      <c r="A15">
        <v>14</v>
      </c>
      <c r="B15" s="8"/>
      <c r="C15" s="8"/>
      <c r="K15" s="8" t="s">
        <v>1223</v>
      </c>
      <c r="M15" s="8"/>
      <c r="N15" s="8" t="s">
        <v>1211</v>
      </c>
      <c r="O15" s="8"/>
    </row>
    <row r="16" spans="1:16" x14ac:dyDescent="0.3">
      <c r="A16">
        <v>15</v>
      </c>
      <c r="B16" s="8"/>
      <c r="C16" s="8"/>
      <c r="K16" s="8" t="s">
        <v>1224</v>
      </c>
      <c r="M16" s="8"/>
      <c r="N16" s="8" t="s">
        <v>1225</v>
      </c>
      <c r="O16" s="8"/>
    </row>
    <row r="17" spans="1:15" x14ac:dyDescent="0.3">
      <c r="A17">
        <v>16</v>
      </c>
      <c r="B17" s="8"/>
      <c r="C17" s="8"/>
      <c r="K17" s="8" t="s">
        <v>1226</v>
      </c>
      <c r="M17" s="8"/>
      <c r="N17" s="8" t="s">
        <v>1227</v>
      </c>
      <c r="O17" s="8"/>
    </row>
    <row r="18" spans="1:15" x14ac:dyDescent="0.3">
      <c r="A18">
        <v>17</v>
      </c>
      <c r="B18" s="8"/>
      <c r="C18" s="8"/>
      <c r="K18" s="8" t="s">
        <v>1228</v>
      </c>
      <c r="M18" s="8"/>
      <c r="N18" s="8" t="s">
        <v>1229</v>
      </c>
      <c r="O18" s="8"/>
    </row>
    <row r="19" spans="1:15" x14ac:dyDescent="0.3">
      <c r="A19">
        <v>18</v>
      </c>
      <c r="B19" s="8"/>
      <c r="C19" s="8"/>
      <c r="K19" s="8" t="s">
        <v>1230</v>
      </c>
      <c r="M19" s="8"/>
      <c r="N19" s="8" t="s">
        <v>1231</v>
      </c>
      <c r="O19" s="8"/>
    </row>
    <row r="20" spans="1:15" x14ac:dyDescent="0.3">
      <c r="A20">
        <v>19</v>
      </c>
      <c r="B20" s="8"/>
      <c r="C20" s="8"/>
      <c r="K20" s="8" t="s">
        <v>1203</v>
      </c>
      <c r="M20" s="8"/>
      <c r="N20" s="8" t="s">
        <v>1232</v>
      </c>
      <c r="O20" s="8"/>
    </row>
    <row r="21" spans="1:15" x14ac:dyDescent="0.3">
      <c r="A21">
        <v>20</v>
      </c>
      <c r="B21" s="8"/>
      <c r="C21" s="8"/>
      <c r="K21" s="8" t="s">
        <v>1233</v>
      </c>
      <c r="M21" s="8"/>
      <c r="N21" s="8" t="s">
        <v>1234</v>
      </c>
      <c r="O21" s="8"/>
    </row>
    <row r="22" spans="1:15" x14ac:dyDescent="0.3">
      <c r="A22">
        <v>21</v>
      </c>
      <c r="B22" s="8"/>
      <c r="C22" s="8"/>
      <c r="K22" s="8" t="s">
        <v>1235</v>
      </c>
      <c r="M22" s="8"/>
      <c r="N22" s="305" t="s">
        <v>748</v>
      </c>
      <c r="O22" s="8"/>
    </row>
    <row r="23" spans="1:15" x14ac:dyDescent="0.3">
      <c r="A23">
        <v>22</v>
      </c>
      <c r="B23" s="8"/>
      <c r="C23" s="8"/>
      <c r="K23" s="8" t="s">
        <v>1236</v>
      </c>
      <c r="M23" s="8"/>
      <c r="O23" s="8"/>
    </row>
    <row r="24" spans="1:15" x14ac:dyDescent="0.3">
      <c r="K24" s="305" t="s">
        <v>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60a7ce-944a-46aa-8bd4-0347d21459af" xsi:nil="true"/>
    <_dlc_DocId xmlns="b160a7ce-944a-46aa-8bd4-0347d21459af">X7D6AQ4KVEDT-1395584830-21822</_dlc_DocId>
    <_dlc_DocIdUrl xmlns="b160a7ce-944a-46aa-8bd4-0347d21459af">
      <Url>https://eliteflowersasci.sharepoint.com/sites/US-SALES/NPD-SECURE/_layouts/15/DocIdRedir.aspx?ID=X7D6AQ4KVEDT-1395584830-21822</Url>
      <Description>X7D6AQ4KVEDT-1395584830-21822</Description>
    </_dlc_DocIdUrl>
    <lcf76f155ced4ddcb4097134ff3c332f xmlns="af71e7ab-9453-48a4-b68a-58811f0413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04B3422387843B2C297B40B5F3EA6" ma:contentTypeVersion="12" ma:contentTypeDescription="Create a new document." ma:contentTypeScope="" ma:versionID="45444cccb575428576639e205de4174c">
  <xsd:schema xmlns:xsd="http://www.w3.org/2001/XMLSchema" xmlns:xs="http://www.w3.org/2001/XMLSchema" xmlns:p="http://schemas.microsoft.com/office/2006/metadata/properties" xmlns:ns2="b160a7ce-944a-46aa-8bd4-0347d21459af" xmlns:ns3="af71e7ab-9453-48a4-b68a-58811f04137b" targetNamespace="http://schemas.microsoft.com/office/2006/metadata/properties" ma:root="true" ma:fieldsID="49957e6cddd6489073ab2cec79b51223" ns2:_="" ns3:_="">
    <xsd:import namespace="b160a7ce-944a-46aa-8bd4-0347d21459af"/>
    <xsd:import namespace="af71e7ab-9453-48a4-b68a-58811f04137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0a7ce-944a-46aa-8bd4-0347d21459a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cad31f03-82e8-45af-9279-c0ffb172adef}" ma:internalName="TaxCatchAll" ma:showField="CatchAllData" ma:web="b160a7ce-944a-46aa-8bd4-0347d2145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1e7ab-9453-48a4-b68a-58811f0413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488556a-2ff2-4c04-91ba-11f670572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55FE2C0-AA8C-4662-A37A-38FC61683C43}">
  <ds:schemaRefs>
    <ds:schemaRef ds:uri="b160a7ce-944a-46aa-8bd4-0347d21459af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f71e7ab-9453-48a4-b68a-58811f04137b"/>
    <ds:schemaRef ds:uri="http://schemas.microsoft.com/office/2006/metadata/properties"/>
    <ds:schemaRef ds:uri="5cf810d0-0f15-4c71-b16b-ca7c0bcae965"/>
    <ds:schemaRef ds:uri="70e96b18-95f6-434e-871c-5894a0ad9fd6"/>
  </ds:schemaRefs>
</ds:datastoreItem>
</file>

<file path=customXml/itemProps2.xml><?xml version="1.0" encoding="utf-8"?>
<ds:datastoreItem xmlns:ds="http://schemas.openxmlformats.org/officeDocument/2006/customXml" ds:itemID="{2D335CA2-D153-451B-B5F9-64502AF01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0a7ce-944a-46aa-8bd4-0347d21459af"/>
    <ds:schemaRef ds:uri="af71e7ab-9453-48a4-b68a-58811f041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EC030F-910E-4D58-B152-D28520AEAE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DD0303F-191F-4E5C-A362-80EEFDF5383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196</vt:i4>
      </vt:variant>
    </vt:vector>
  </HeadingPairs>
  <TitlesOfParts>
    <vt:vector size="216" baseType="lpstr">
      <vt:lpstr>Quote</vt:lpstr>
      <vt:lpstr>CUST DATAB</vt:lpstr>
      <vt:lpstr>HOUSE MADE BQT CHART</vt:lpstr>
      <vt:lpstr>REGULAR Spec Sheet</vt:lpstr>
      <vt:lpstr>Spec Sheet</vt:lpstr>
      <vt:lpstr>HOUSE MADE BQT Spec Sheet</vt:lpstr>
      <vt:lpstr>FL COST</vt:lpstr>
      <vt:lpstr>Sheet3</vt:lpstr>
      <vt:lpstr>FLOWER RELATION</vt:lpstr>
      <vt:lpstr>LIST</vt:lpstr>
      <vt:lpstr>CUST LIST</vt:lpstr>
      <vt:lpstr>PRICES USA</vt:lpstr>
      <vt:lpstr>PACK</vt:lpstr>
      <vt:lpstr>DBCost</vt:lpstr>
      <vt:lpstr>FL-CO</vt:lpstr>
      <vt:lpstr>FL-GR</vt:lpstr>
      <vt:lpstr>BICOLOR</vt:lpstr>
      <vt:lpstr>TINTED</vt:lpstr>
      <vt:lpstr>GLITTERED</vt:lpstr>
      <vt:lpstr>TNT-GLT</vt:lpstr>
      <vt:lpstr>ARR_DROP_IN_MACHINE</vt:lpstr>
      <vt:lpstr>ARR_DROP_IN_MANUAL</vt:lpstr>
      <vt:lpstr>ARR_FOAM</vt:lpstr>
      <vt:lpstr>BC_ALSTROEMERIA</vt:lpstr>
      <vt:lpstr>BC_ASIATIC</vt:lpstr>
      <vt:lpstr>BC_BONBON_DISBUD</vt:lpstr>
      <vt:lpstr>BC_BRASSICAS</vt:lpstr>
      <vt:lpstr>BC_CALLAS</vt:lpstr>
      <vt:lpstr>BC_CARNATION</vt:lpstr>
      <vt:lpstr>BC_CORDYLINE</vt:lpstr>
      <vt:lpstr>BC_CREMON</vt:lpstr>
      <vt:lpstr>BC_CUSHION</vt:lpstr>
      <vt:lpstr>BC_DAISY</vt:lpstr>
      <vt:lpstr>BC_GERBERA</vt:lpstr>
      <vt:lpstr>BC_GERBERA_GERRONDO</vt:lpstr>
      <vt:lpstr>BC_HYDRANGEA</vt:lpstr>
      <vt:lpstr>BC_LILLY_GRASS</vt:lpstr>
      <vt:lpstr>BC_LIRIOS</vt:lpstr>
      <vt:lpstr>BC_MATSUMOTO</vt:lpstr>
      <vt:lpstr>BC_MINICARNATION</vt:lpstr>
      <vt:lpstr>BC_NOVELTY</vt:lpstr>
      <vt:lpstr>BC_ROSES</vt:lpstr>
      <vt:lpstr>BC_ROSES_SPRAY</vt:lpstr>
      <vt:lpstr>BC_SNAP_DRAGON</vt:lpstr>
      <vt:lpstr>BC_SPIDER</vt:lpstr>
      <vt:lpstr>BICOLOR</vt:lpstr>
      <vt:lpstr>CASES</vt:lpstr>
      <vt:lpstr>CLEAR_COLOR</vt:lpstr>
      <vt:lpstr>CO_ALSTROEMERIA</vt:lpstr>
      <vt:lpstr>CO_ARALIA</vt:lpstr>
      <vt:lpstr>CO_ASIATIC</vt:lpstr>
      <vt:lpstr>CO_ASPIDISTRA</vt:lpstr>
      <vt:lpstr>CO_ASTER</vt:lpstr>
      <vt:lpstr>CO_BONBON_DISBUD</vt:lpstr>
      <vt:lpstr>CO_BRASSICAS</vt:lpstr>
      <vt:lpstr>CO_BUTTON</vt:lpstr>
      <vt:lpstr>CO_CALLAS</vt:lpstr>
      <vt:lpstr>CO_CARNATION</vt:lpstr>
      <vt:lpstr>CO_CEDAR</vt:lpstr>
      <vt:lpstr>CO_COCCULOS</vt:lpstr>
      <vt:lpstr>CO_CORDYLINE</vt:lpstr>
      <vt:lpstr>CO_CREMON</vt:lpstr>
      <vt:lpstr>CO_CROTTON</vt:lpstr>
      <vt:lpstr>CO_CUSHION</vt:lpstr>
      <vt:lpstr>CO_DAISY</vt:lpstr>
      <vt:lpstr>CO_DIANTHUS</vt:lpstr>
      <vt:lpstr>CO_ERYNGIUM</vt:lpstr>
      <vt:lpstr>CO_EUCALIPTUS</vt:lpstr>
      <vt:lpstr>CO_GARDEN_ROSES</vt:lpstr>
      <vt:lpstr>CO_GERBERA</vt:lpstr>
      <vt:lpstr>CO_GERBERA_GERONDO</vt:lpstr>
      <vt:lpstr>CO_GREVILLEAS</vt:lpstr>
      <vt:lpstr>CO_GYPSOPHILA</vt:lpstr>
      <vt:lpstr>CO_HYDRANGEA</vt:lpstr>
      <vt:lpstr>CO_HYPERYCUM</vt:lpstr>
      <vt:lpstr>CO_LEATHER_LEAF</vt:lpstr>
      <vt:lpstr>CO_LEUCADENDRON</vt:lpstr>
      <vt:lpstr>CO_LILLY_GRASS</vt:lpstr>
      <vt:lpstr>CO_LIMONIUM</vt:lpstr>
      <vt:lpstr>CO_MATSUMOTO</vt:lpstr>
      <vt:lpstr>CO_MICRO_POMS</vt:lpstr>
      <vt:lpstr>CO_MINICALLAS</vt:lpstr>
      <vt:lpstr>CO_MINICARNATION</vt:lpstr>
      <vt:lpstr>CO_MINIHYDRANGEA</vt:lpstr>
      <vt:lpstr>CO_MOLUCELLA</vt:lpstr>
      <vt:lpstr>CO_MUMS</vt:lpstr>
      <vt:lpstr>CO_NOVELTY</vt:lpstr>
      <vt:lpstr>CO_ORIENTAL</vt:lpstr>
      <vt:lpstr>CO_PHOENIX_ROEBELENII</vt:lpstr>
      <vt:lpstr>CO_PHOTINIA</vt:lpstr>
      <vt:lpstr>CO_PITTOSPORUM</vt:lpstr>
      <vt:lpstr>CO_ROSES</vt:lpstr>
      <vt:lpstr>CO_ROSES_SPRAY</vt:lpstr>
      <vt:lpstr>CO_RUSCUS</vt:lpstr>
      <vt:lpstr>CO_SALAL</vt:lpstr>
      <vt:lpstr>CO_SANTINI</vt:lpstr>
      <vt:lpstr>CO_SNAP_DRAGON</vt:lpstr>
      <vt:lpstr>CO_SOLIDAGO</vt:lpstr>
      <vt:lpstr>CO_SPIDER</vt:lpstr>
      <vt:lpstr>CO_STAR_OF_BETHELEHEM</vt:lpstr>
      <vt:lpstr>CO_STATICE</vt:lpstr>
      <vt:lpstr>CO_STOCK_DOUBLE</vt:lpstr>
      <vt:lpstr>CO_STOCK_STARLET</vt:lpstr>
      <vt:lpstr>CO_SUNFLOWER</vt:lpstr>
      <vt:lpstr>CO_TREEFERN</vt:lpstr>
      <vt:lpstr>CO_VIBURNUM</vt:lpstr>
      <vt:lpstr>DP_FB_RELATION</vt:lpstr>
      <vt:lpstr>FB_COST</vt:lpstr>
      <vt:lpstr>FL_COST_COL</vt:lpstr>
      <vt:lpstr>FL_COST_USA</vt:lpstr>
      <vt:lpstr>FLOWER</vt:lpstr>
      <vt:lpstr>GLT_BRASSICAS</vt:lpstr>
      <vt:lpstr>GLT_CEDAR</vt:lpstr>
      <vt:lpstr>GLT_CREMON</vt:lpstr>
      <vt:lpstr>GLT_CUSHION</vt:lpstr>
      <vt:lpstr>GLT_DAISY</vt:lpstr>
      <vt:lpstr>GLT_ERYNGIUM</vt:lpstr>
      <vt:lpstr>GLT_EUCALIPTUS</vt:lpstr>
      <vt:lpstr>GLT_GYPSOPHILA</vt:lpstr>
      <vt:lpstr>GLT_HYPERYCUM</vt:lpstr>
      <vt:lpstr>GLT_LEATHER_LEAF</vt:lpstr>
      <vt:lpstr>GLT_LIMONIUM</vt:lpstr>
      <vt:lpstr>GLT_MICRO_POMS</vt:lpstr>
      <vt:lpstr>GLT_NOVELTY</vt:lpstr>
      <vt:lpstr>GLT_RUSCUS</vt:lpstr>
      <vt:lpstr>GLT_SPIDER</vt:lpstr>
      <vt:lpstr>GLT_TREEFERN</vt:lpstr>
      <vt:lpstr>GR_ALSTROEMERIA</vt:lpstr>
      <vt:lpstr>GR_ARALIA</vt:lpstr>
      <vt:lpstr>GR_ASIATIC</vt:lpstr>
      <vt:lpstr>GR_ASPIDISTRA</vt:lpstr>
      <vt:lpstr>GR_ASTER</vt:lpstr>
      <vt:lpstr>GR_BRASSICAS</vt:lpstr>
      <vt:lpstr>GR_BUTTON</vt:lpstr>
      <vt:lpstr>GR_CALLAS</vt:lpstr>
      <vt:lpstr>GR_CARNATION</vt:lpstr>
      <vt:lpstr>GR_CEDAR</vt:lpstr>
      <vt:lpstr>GR_COCCULOS</vt:lpstr>
      <vt:lpstr>GR_CORDYLINE</vt:lpstr>
      <vt:lpstr>GR_CREMON</vt:lpstr>
      <vt:lpstr>GR_CROTTON</vt:lpstr>
      <vt:lpstr>GR_CUSHION</vt:lpstr>
      <vt:lpstr>GR_DAISY</vt:lpstr>
      <vt:lpstr>GR_DIANTHUS</vt:lpstr>
      <vt:lpstr>GR_ERYNGIUM</vt:lpstr>
      <vt:lpstr>GR_EUCALIPTUS</vt:lpstr>
      <vt:lpstr>GR_GARDEN_ROSES</vt:lpstr>
      <vt:lpstr>GR_GERBERA</vt:lpstr>
      <vt:lpstr>GR_GERBERA_GERRONDO</vt:lpstr>
      <vt:lpstr>GR_GREVILLEAS</vt:lpstr>
      <vt:lpstr>GR_GYPSOPHILA</vt:lpstr>
      <vt:lpstr>GR_HYDRANGEA</vt:lpstr>
      <vt:lpstr>GR_HYPERYCUM</vt:lpstr>
      <vt:lpstr>GR_LEATHER_LEAF</vt:lpstr>
      <vt:lpstr>GR_LEUCADENDRON</vt:lpstr>
      <vt:lpstr>GR_LILLY_GRASS</vt:lpstr>
      <vt:lpstr>GR_LIMONIUM</vt:lpstr>
      <vt:lpstr>GR_MATSUMOTO</vt:lpstr>
      <vt:lpstr>GR_MICRO_POMS</vt:lpstr>
      <vt:lpstr>GR_MINICARNATION</vt:lpstr>
      <vt:lpstr>GR_MINIHYDRANGEA</vt:lpstr>
      <vt:lpstr>GR_MOLUCELLA</vt:lpstr>
      <vt:lpstr>GR_MUMS</vt:lpstr>
      <vt:lpstr>GR_NOVELTY_POM</vt:lpstr>
      <vt:lpstr>GR_ORIENTAL</vt:lpstr>
      <vt:lpstr>GR_PHOENIX_ROEBELENII</vt:lpstr>
      <vt:lpstr>GR_PHOTINIA</vt:lpstr>
      <vt:lpstr>GR_PITTOSPORUM</vt:lpstr>
      <vt:lpstr>GR_ROSES</vt:lpstr>
      <vt:lpstr>GR_ROSES_SPRAY</vt:lpstr>
      <vt:lpstr>GR_RUSCUS</vt:lpstr>
      <vt:lpstr>GR_SALAL</vt:lpstr>
      <vt:lpstr>GR_SANTINI</vt:lpstr>
      <vt:lpstr>GR_SNAP_DRAGON</vt:lpstr>
      <vt:lpstr>GR_SOLIDAGO</vt:lpstr>
      <vt:lpstr>GR_SPIDER</vt:lpstr>
      <vt:lpstr>GR_STAR_OF_BETHELEHEM</vt:lpstr>
      <vt:lpstr>GR_STATICE</vt:lpstr>
      <vt:lpstr>GR_STOCK_DOUBLE</vt:lpstr>
      <vt:lpstr>GR_STOCK_STARLET</vt:lpstr>
      <vt:lpstr>GR_SUNFLOWER</vt:lpstr>
      <vt:lpstr>GR_TREEFERN</vt:lpstr>
      <vt:lpstr>GR_VIBURNUM</vt:lpstr>
      <vt:lpstr>HOLIDAY</vt:lpstr>
      <vt:lpstr>NO</vt:lpstr>
      <vt:lpstr>PALLET_SHIPPER</vt:lpstr>
      <vt:lpstr>'HOUSE MADE BQT Spec Sheet'!Print_Area</vt:lpstr>
      <vt:lpstr>'REGULAR Spec Sheet'!Print_Area</vt:lpstr>
      <vt:lpstr>'Spec Sheet'!Print_Area</vt:lpstr>
      <vt:lpstr>TNT_ALSTROEMERIA</vt:lpstr>
      <vt:lpstr>TNT_ASIATIC</vt:lpstr>
      <vt:lpstr>TNT_ASTER</vt:lpstr>
      <vt:lpstr>TNT_CARNATION</vt:lpstr>
      <vt:lpstr>TNT_CEDAR</vt:lpstr>
      <vt:lpstr>TNT_CREMON</vt:lpstr>
      <vt:lpstr>TNT_CUSHION</vt:lpstr>
      <vt:lpstr>TNT_DAISY</vt:lpstr>
      <vt:lpstr>TNT_ERYNGIUM</vt:lpstr>
      <vt:lpstr>TNT_GERBERA</vt:lpstr>
      <vt:lpstr>TNT_GYPSOPHILA</vt:lpstr>
      <vt:lpstr>TNT_HYDRANGEA</vt:lpstr>
      <vt:lpstr>TNT_LIMONIUM</vt:lpstr>
      <vt:lpstr>TNT_MICRO_POMS</vt:lpstr>
      <vt:lpstr>TNT_MINICARNATION</vt:lpstr>
      <vt:lpstr>TNT_NOVELTY</vt:lpstr>
      <vt:lpstr>TNT_PHOENIX_ROEBELENII</vt:lpstr>
      <vt:lpstr>TNT_ROSES</vt:lpstr>
      <vt:lpstr>TNT_ROSES_SPRAY</vt:lpstr>
      <vt:lpstr>TNT_RUSCUS</vt:lpstr>
      <vt:lpstr>TNT_SOLIDAGO</vt:lpstr>
      <vt:lpstr>TNT_SPIDER</vt:lpstr>
      <vt:lpstr>TNT_SUNFLOWER</vt:lpstr>
      <vt:lpstr>TNT_TREEFERN</vt:lpstr>
      <vt:lpstr>WP_DOUBLE</vt:lpstr>
      <vt:lpstr>WP_REG</vt:lpstr>
      <vt:lpstr>WP_TYPE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Sanchez</dc:creator>
  <cp:keywords/>
  <dc:description/>
  <cp:lastModifiedBy>Carlos Manuel Salazar Coelho</cp:lastModifiedBy>
  <cp:revision/>
  <dcterms:created xsi:type="dcterms:W3CDTF">2018-02-28T16:02:40Z</dcterms:created>
  <dcterms:modified xsi:type="dcterms:W3CDTF">2026-03-23T06:40:05Z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0x0101000F904B3422387843B2C297B40B5F3EA6</vt:lpwstr>
  </property>
  <property fmtid="{D5CDD505-2E9C-101B-9397-08002B2CF9AE}" pid="3" name="_dlc_DocIdItemGuid">
    <vt:lpwstr>89cc71b2-fa06-4b03-88d3-9d752a1e3f37</vt:lpwstr>
  </property>
  <property fmtid="{D5CDD505-2E9C-101B-9397-08002B2CF9AE}" pid="4" name="WorkbookGuid">
    <vt:lpwstr>c513a2fd-0003-4729-aaf0-f9d79f9d6f33</vt:lpwstr>
  </property>
  <property fmtid="{D5CDD505-2E9C-101B-9397-08002B2CF9AE}" pid="5" name="MediaServiceImageTags">
    <vt:lpwstr/>
  </property>
</Properties>
</file>